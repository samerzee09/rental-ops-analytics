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InkAnnotation="0" codeName="ThisWorkbook" defaultThemeVersion="202300"/>
  <mc:AlternateContent xmlns:mc="http://schemas.openxmlformats.org/markup-compatibility/2006">
    <mc:Choice Requires="x15">
      <x15ac:absPath xmlns:x15ac="http://schemas.microsoft.com/office/spreadsheetml/2010/11/ac" url="C:\Users\samze\Downloads\"/>
    </mc:Choice>
  </mc:AlternateContent>
  <xr:revisionPtr revIDLastSave="0" documentId="13_ncr:1_{ADAFD5C6-648B-4F68-A411-56ACA4BFA7CF}" xr6:coauthVersionLast="47" xr6:coauthVersionMax="47" xr10:uidLastSave="{00000000-0000-0000-0000-000000000000}"/>
  <bookViews>
    <workbookView xWindow="25660" yWindow="11960" windowWidth="21210" windowHeight="15980" activeTab="3" xr2:uid="{00000000-000D-0000-FFFF-FFFF00000000}"/>
  </bookViews>
  <sheets>
    <sheet name="Qtr1" sheetId="3" r:id="rId1"/>
    <sheet name="Qtr2" sheetId="6" r:id="rId2"/>
    <sheet name="Qtr3" sheetId="7" r:id="rId3"/>
    <sheet name="Qtr4" sheetId="8" r:id="rId4"/>
    <sheet name="Year" sheetId="9" r:id="rId5"/>
    <sheet name="Consolidated" sheetId="10" r:id="rId6"/>
    <sheet name="Future" sheetId="11" state="hidden" r:id="rId7"/>
    <sheet name="Totals" sheetId="12" r:id="rId8"/>
    <sheet name="Inventory" sheetId="13" r:id="rId9"/>
  </sheets>
  <externalReferences>
    <externalReference r:id="rId10"/>
  </externalReferences>
  <definedNames>
    <definedName name="_xlchart.v6.0" hidden="1">Totals!$B$3</definedName>
    <definedName name="_xlchart.v6.1" hidden="1">Totals!$B$4:$B$8</definedName>
    <definedName name="_xlchart.v6.2" hidden="1">Totals!$D$3</definedName>
    <definedName name="_xlchart.v6.3" hidden="1">Totals!$D$4:$D$8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13" l="1"/>
  <c r="C4" i="12" a="1"/>
  <c r="C4" i="12" s="1"/>
  <c r="C5" i="12" a="1"/>
  <c r="C5" i="12" s="1"/>
  <c r="C6" i="12" a="1"/>
  <c r="C6" i="12" s="1"/>
  <c r="C7" i="12" a="1"/>
  <c r="C7" i="12" s="1"/>
  <c r="C8" i="12" a="1"/>
  <c r="C8" i="12" s="1"/>
  <c r="B4" i="12" a="1"/>
  <c r="B4" i="12" s="1"/>
  <c r="B5" i="12" a="1"/>
  <c r="B5" i="12" s="1"/>
  <c r="B6" i="12" a="1"/>
  <c r="B6" i="12" s="1"/>
  <c r="B7" i="12" a="1"/>
  <c r="B7" i="12" s="1"/>
  <c r="B8" i="12" a="1"/>
  <c r="B8" i="12" s="1"/>
  <c r="D8" i="12"/>
  <c r="F5" i="9"/>
  <c r="F6" i="9"/>
  <c r="F7" i="9"/>
  <c r="F8" i="9"/>
  <c r="F9" i="9"/>
  <c r="F10" i="9"/>
  <c r="F11" i="9"/>
  <c r="F4" i="9"/>
  <c r="E5" i="9"/>
  <c r="E6" i="9"/>
  <c r="E7" i="9"/>
  <c r="E8" i="9"/>
  <c r="E9" i="9"/>
  <c r="E10" i="9"/>
  <c r="E11" i="9"/>
  <c r="E4" i="9"/>
  <c r="D5" i="9"/>
  <c r="D6" i="9"/>
  <c r="D7" i="9"/>
  <c r="D8" i="9"/>
  <c r="D9" i="9"/>
  <c r="D10" i="9"/>
  <c r="D11" i="9"/>
  <c r="D4" i="9"/>
  <c r="C10" i="9"/>
  <c r="C11" i="9"/>
  <c r="C5" i="9"/>
  <c r="C6" i="9"/>
  <c r="C7" i="9"/>
  <c r="C8" i="9"/>
  <c r="C9" i="9"/>
  <c r="C4" i="9"/>
  <c r="B11" i="9"/>
  <c r="B5" i="9"/>
  <c r="B6" i="9"/>
  <c r="B7" i="9"/>
  <c r="B8" i="9"/>
  <c r="B9" i="9"/>
  <c r="B10" i="9"/>
  <c r="B4" i="9"/>
  <c r="B11" i="3"/>
  <c r="B11" i="8"/>
  <c r="B11" i="7"/>
  <c r="B11" i="6"/>
  <c r="E11" i="6" s="1"/>
  <c r="C11" i="3"/>
  <c r="C11" i="8"/>
  <c r="E11" i="8" s="1"/>
  <c r="C11" i="7"/>
  <c r="C11" i="6"/>
  <c r="D11" i="3"/>
  <c r="E11" i="3" s="1"/>
  <c r="D11" i="8"/>
  <c r="D11" i="7"/>
  <c r="D11" i="6"/>
  <c r="E4" i="3"/>
  <c r="E4" i="8"/>
  <c r="E4" i="7"/>
  <c r="E4" i="6"/>
  <c r="E5" i="3"/>
  <c r="E5" i="8"/>
  <c r="E5" i="7"/>
  <c r="E5" i="6"/>
  <c r="E6" i="3"/>
  <c r="E6" i="8"/>
  <c r="E6" i="7"/>
  <c r="E6" i="6"/>
  <c r="E7" i="3"/>
  <c r="E7" i="8"/>
  <c r="E7" i="7"/>
  <c r="E7" i="6"/>
  <c r="E8" i="3"/>
  <c r="E8" i="8"/>
  <c r="E8" i="7"/>
  <c r="E8" i="6"/>
  <c r="E9" i="3"/>
  <c r="E9" i="8"/>
  <c r="E9" i="7"/>
  <c r="E9" i="6"/>
  <c r="E10" i="3"/>
  <c r="E10" i="8"/>
  <c r="E10" i="7"/>
  <c r="E10" i="6"/>
  <c r="E11" i="7"/>
  <c r="D9" i="12"/>
  <c r="B11" i="13"/>
  <c r="D5" i="13"/>
  <c r="D6" i="13"/>
  <c r="D7" i="13"/>
  <c r="D8" i="13"/>
  <c r="D11" i="13" s="1"/>
  <c r="D9" i="13"/>
  <c r="D10" i="13"/>
  <c r="D4" i="13"/>
  <c r="D22" i="3"/>
  <c r="C22" i="3"/>
  <c r="D28" i="3"/>
  <c r="C28" i="3"/>
  <c r="B28" i="3"/>
  <c r="B22" i="3"/>
  <c r="D16" i="3"/>
  <c r="C16" i="3"/>
  <c r="B16" i="3"/>
  <c r="B30" i="3" l="1"/>
  <c r="C30" i="3"/>
  <c r="D30"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5">
    <bk>
      <extLst>
        <ext uri="{3e2802c4-a4d2-4d8b-9148-e3be6c30e623}">
          <xlrd:rvb i="0"/>
        </ext>
      </extLst>
    </bk>
    <bk>
      <extLst>
        <ext uri="{3e2802c4-a4d2-4d8b-9148-e3be6c30e623}">
          <xlrd:rvb i="1"/>
        </ext>
      </extLst>
    </bk>
    <bk>
      <extLst>
        <ext uri="{3e2802c4-a4d2-4d8b-9148-e3be6c30e623}">
          <xlrd:rvb i="25"/>
        </ext>
      </extLst>
    </bk>
    <bk>
      <extLst>
        <ext uri="{3e2802c4-a4d2-4d8b-9148-e3be6c30e623}">
          <xlrd:rvb i="44"/>
        </ext>
      </extLst>
    </bk>
    <bk>
      <extLst>
        <ext uri="{3e2802c4-a4d2-4d8b-9148-e3be6c30e623}">
          <xlrd:rvb i="45"/>
        </ext>
      </extLst>
    </bk>
    <bk>
      <extLst>
        <ext uri="{3e2802c4-a4d2-4d8b-9148-e3be6c30e623}">
          <xlrd:rvb i="74"/>
        </ext>
      </extLst>
    </bk>
    <bk>
      <extLst>
        <ext uri="{3e2802c4-a4d2-4d8b-9148-e3be6c30e623}">
          <xlrd:rvb i="91"/>
        </ext>
      </extLst>
    </bk>
    <bk>
      <extLst>
        <ext uri="{3e2802c4-a4d2-4d8b-9148-e3be6c30e623}">
          <xlrd:rvb i="92"/>
        </ext>
      </extLst>
    </bk>
    <bk>
      <extLst>
        <ext uri="{3e2802c4-a4d2-4d8b-9148-e3be6c30e623}">
          <xlrd:rvb i="119"/>
        </ext>
      </extLst>
    </bk>
    <bk>
      <extLst>
        <ext uri="{3e2802c4-a4d2-4d8b-9148-e3be6c30e623}">
          <xlrd:rvb i="135"/>
        </ext>
      </extLst>
    </bk>
    <bk>
      <extLst>
        <ext uri="{3e2802c4-a4d2-4d8b-9148-e3be6c30e623}">
          <xlrd:rvb i="136"/>
        </ext>
      </extLst>
    </bk>
    <bk>
      <extLst>
        <ext uri="{3e2802c4-a4d2-4d8b-9148-e3be6c30e623}">
          <xlrd:rvb i="163"/>
        </ext>
      </extLst>
    </bk>
    <bk>
      <extLst>
        <ext uri="{3e2802c4-a4d2-4d8b-9148-e3be6c30e623}">
          <xlrd:rvb i="181"/>
        </ext>
      </extLst>
    </bk>
    <bk>
      <extLst>
        <ext uri="{3e2802c4-a4d2-4d8b-9148-e3be6c30e623}">
          <xlrd:rvb i="182"/>
        </ext>
      </extLst>
    </bk>
    <bk>
      <extLst>
        <ext uri="{3e2802c4-a4d2-4d8b-9148-e3be6c30e623}">
          <xlrd:rvb i="208"/>
        </ext>
      </extLst>
    </bk>
  </futureMetadata>
  <cellMetadata count="1">
    <bk>
      <rc t="1" v="0"/>
    </bk>
  </cellMetadata>
  <valueMetadata count="15">
    <bk>
      <rc t="2" v="0"/>
    </bk>
    <bk>
      <rc t="2" v="1"/>
    </bk>
    <bk>
      <rc t="2" v="2"/>
    </bk>
    <bk>
      <rc t="2" v="3"/>
    </bk>
    <bk>
      <rc t="2" v="4"/>
    </bk>
    <bk>
      <rc t="2" v="5"/>
    </bk>
    <bk>
      <rc t="2" v="6"/>
    </bk>
    <bk>
      <rc t="2" v="7"/>
    </bk>
    <bk>
      <rc t="2" v="8"/>
    </bk>
    <bk>
      <rc t="2" v="9"/>
    </bk>
    <bk>
      <rc t="2" v="10"/>
    </bk>
    <bk>
      <rc t="2" v="11"/>
    </bk>
    <bk>
      <rc t="2" v="12"/>
    </bk>
    <bk>
      <rc t="2" v="13"/>
    </bk>
    <bk>
      <rc t="2" v="14"/>
    </bk>
  </valueMetadata>
</metadata>
</file>

<file path=xl/sharedStrings.xml><?xml version="1.0" encoding="utf-8"?>
<sst xmlns="http://schemas.openxmlformats.org/spreadsheetml/2006/main" count="135" uniqueCount="48">
  <si>
    <t>January</t>
  </si>
  <si>
    <t>February</t>
  </si>
  <si>
    <t>March</t>
  </si>
  <si>
    <t>April</t>
  </si>
  <si>
    <t>May</t>
  </si>
  <si>
    <t>June</t>
  </si>
  <si>
    <t>July</t>
  </si>
  <si>
    <t>August</t>
  </si>
  <si>
    <t>September</t>
  </si>
  <si>
    <t>October</t>
  </si>
  <si>
    <t>November</t>
  </si>
  <si>
    <t>December</t>
  </si>
  <si>
    <t>Qtr 1</t>
  </si>
  <si>
    <t>Qtr 2</t>
  </si>
  <si>
    <t>Qtr 3</t>
  </si>
  <si>
    <t>Qtr 4</t>
  </si>
  <si>
    <t>Location Totals</t>
  </si>
  <si>
    <t>Monthly Totals</t>
  </si>
  <si>
    <t>Midsize</t>
  </si>
  <si>
    <t>Compact</t>
  </si>
  <si>
    <t>Standard</t>
  </si>
  <si>
    <t>Economy</t>
  </si>
  <si>
    <t>Full Size</t>
  </si>
  <si>
    <t>Luxury</t>
  </si>
  <si>
    <t>Convertible</t>
  </si>
  <si>
    <t>Car Type</t>
  </si>
  <si>
    <t>Affordable Car Rental Company</t>
  </si>
  <si>
    <t>Car Type Totals</t>
  </si>
  <si>
    <t>City</t>
  </si>
  <si>
    <t>State</t>
  </si>
  <si>
    <t>Population</t>
  </si>
  <si>
    <t>Totals</t>
  </si>
  <si>
    <t>Truck Type</t>
  </si>
  <si>
    <t>SUV</t>
  </si>
  <si>
    <t>Premium</t>
  </si>
  <si>
    <t>Intermediate</t>
  </si>
  <si>
    <t>Electric</t>
  </si>
  <si>
    <t>Electric Monthly Totals</t>
  </si>
  <si>
    <t>SUV Monthly Totals</t>
  </si>
  <si>
    <t>Truck Monthly Totals</t>
  </si>
  <si>
    <t>Grand Monthly Totals</t>
  </si>
  <si>
    <t>Affordable Car Rental Company-Future Location</t>
  </si>
  <si>
    <t># of Cars</t>
  </si>
  <si>
    <t>Total Cars</t>
  </si>
  <si>
    <t># Cars Rented</t>
  </si>
  <si>
    <t># Cars Available</t>
  </si>
  <si>
    <t>Today's Rental Inventory</t>
  </si>
  <si>
    <t>Quarterly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</si>
</sst>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6" x14ac:knownFonts="1">
    <font>
      <sz val="10"/>
      <name val="Arial"/>
    </font>
    <font>
      <sz val="10"/>
      <name val="Arial"/>
      <family val="2"/>
    </font>
    <font>
      <sz val="10"/>
      <name val="Arial"/>
      <family val="2"/>
    </font>
    <font>
      <sz val="8"/>
      <name val="Arial"/>
      <family val="2"/>
    </font>
    <font>
      <b/>
      <sz val="11"/>
      <color theme="1"/>
      <name val="Aptos Narrow"/>
      <family val="2"/>
      <scheme val="minor"/>
    </font>
    <font>
      <sz val="10"/>
      <name val="Arial"/>
      <family val="2"/>
    </font>
    <font>
      <b/>
      <sz val="14"/>
      <color rgb="FF7030A0"/>
      <name val="Aptos Narrow"/>
      <family val="2"/>
    </font>
    <font>
      <sz val="11"/>
      <color theme="1"/>
      <name val="Aptos Narrow"/>
      <family val="2"/>
    </font>
    <font>
      <b/>
      <sz val="11"/>
      <color theme="1"/>
      <name val="Aptos Narrow"/>
      <family val="2"/>
    </font>
    <font>
      <sz val="11"/>
      <name val="Aptos Narrow"/>
      <family val="2"/>
    </font>
    <font>
      <b/>
      <sz val="11"/>
      <color rgb="FF7030A0"/>
      <name val="Aptos Narrow"/>
      <family val="2"/>
    </font>
    <font>
      <b/>
      <sz val="11"/>
      <name val="Aptos Narrow"/>
      <family val="2"/>
    </font>
    <font>
      <b/>
      <sz val="11"/>
      <color indexed="36"/>
      <name val="Aptos Narrow"/>
      <family val="2"/>
    </font>
    <font>
      <sz val="11"/>
      <name val="Arial"/>
      <family val="2"/>
    </font>
    <font>
      <sz val="10"/>
      <name val="Arial"/>
      <family val="2"/>
    </font>
    <font>
      <u/>
      <sz val="10"/>
      <color theme="10"/>
      <name val="Arial"/>
      <family val="2"/>
    </font>
  </fonts>
  <fills count="2">
    <fill>
      <patternFill patternType="none"/>
    </fill>
    <fill>
      <patternFill patternType="gray125"/>
    </fill>
  </fills>
  <borders count="3">
    <border>
      <left/>
      <right/>
      <top/>
      <bottom/>
      <diagonal/>
    </border>
    <border>
      <left/>
      <right/>
      <top style="thin">
        <color theme="4"/>
      </top>
      <bottom style="double">
        <color theme="4"/>
      </bottom>
      <diagonal/>
    </border>
    <border>
      <left/>
      <right/>
      <top/>
      <bottom style="thin">
        <color indexed="64"/>
      </bottom>
      <diagonal/>
    </border>
  </borders>
  <cellStyleXfs count="32">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5" fillId="0" borderId="0"/>
    <xf numFmtId="44" fontId="2" fillId="0" borderId="0" applyFont="0" applyFill="0" applyBorder="0" applyAlignment="0" applyProtection="0"/>
    <xf numFmtId="0" fontId="4" fillId="0" borderId="1" applyNumberFormat="0" applyFill="0" applyAlignment="0" applyProtection="0"/>
    <xf numFmtId="0" fontId="14" fillId="0" borderId="0"/>
    <xf numFmtId="0" fontId="5" fillId="0" borderId="0"/>
    <xf numFmtId="0" fontId="4" fillId="0" borderId="1" applyNumberFormat="0" applyFill="0" applyAlignment="0" applyProtection="0"/>
    <xf numFmtId="0" fontId="4" fillId="0" borderId="1" applyNumberFormat="0" applyFill="0" applyAlignment="0" applyProtection="0"/>
    <xf numFmtId="0" fontId="5" fillId="0" borderId="0"/>
    <xf numFmtId="0" fontId="14" fillId="0" borderId="0"/>
    <xf numFmtId="0" fontId="5" fillId="0" borderId="0"/>
    <xf numFmtId="0" fontId="1" fillId="0" borderId="0"/>
    <xf numFmtId="44" fontId="5" fillId="0" borderId="0" applyFont="0" applyFill="0" applyBorder="0" applyAlignment="0" applyProtection="0"/>
    <xf numFmtId="44" fontId="2" fillId="0" borderId="0" applyFont="0" applyFill="0" applyBorder="0" applyAlignment="0" applyProtection="0"/>
    <xf numFmtId="0" fontId="1" fillId="0" borderId="0"/>
    <xf numFmtId="44" fontId="1" fillId="0" borderId="0" applyFont="0" applyFill="0" applyBorder="0" applyAlignment="0" applyProtection="0"/>
    <xf numFmtId="0" fontId="5" fillId="0" borderId="0"/>
    <xf numFmtId="43" fontId="1" fillId="0" borderId="0" applyFont="0" applyFill="0" applyBorder="0" applyAlignment="0" applyProtection="0"/>
    <xf numFmtId="43" fontId="1" fillId="0" borderId="0" applyFont="0" applyFill="0" applyBorder="0" applyAlignment="0" applyProtection="0"/>
    <xf numFmtId="0" fontId="14" fillId="0" borderId="0"/>
    <xf numFmtId="43" fontId="1" fillId="0" borderId="0" applyFont="0" applyFill="0" applyBorder="0" applyAlignment="0" applyProtection="0"/>
    <xf numFmtId="0" fontId="5" fillId="0" borderId="0"/>
    <xf numFmtId="0" fontId="1" fillId="0" borderId="0"/>
    <xf numFmtId="0" fontId="14" fillId="0" borderId="0"/>
    <xf numFmtId="0" fontId="14" fillId="0" borderId="0"/>
    <xf numFmtId="0" fontId="5" fillId="0" borderId="0"/>
    <xf numFmtId="0" fontId="14" fillId="0" borderId="0"/>
    <xf numFmtId="0" fontId="5" fillId="0" borderId="0"/>
    <xf numFmtId="0" fontId="15" fillId="0" borderId="0" applyNumberFormat="0" applyFill="0" applyBorder="0" applyAlignment="0" applyProtection="0"/>
  </cellStyleXfs>
  <cellXfs count="46">
    <xf numFmtId="0" fontId="0" fillId="0" borderId="0" xfId="0"/>
    <xf numFmtId="0" fontId="6" fillId="0" borderId="0" xfId="0" applyFont="1" applyAlignment="1">
      <alignment horizontal="center"/>
    </xf>
    <xf numFmtId="0" fontId="9" fillId="0" borderId="0" xfId="0" applyFont="1"/>
    <xf numFmtId="43" fontId="9" fillId="0" borderId="0" xfId="1" applyFont="1"/>
    <xf numFmtId="0" fontId="9" fillId="0" borderId="0" xfId="3" applyFont="1"/>
    <xf numFmtId="44" fontId="9" fillId="0" borderId="0" xfId="0" applyNumberFormat="1" applyFont="1"/>
    <xf numFmtId="0" fontId="12" fillId="0" borderId="0" xfId="4" applyFont="1" applyAlignment="1">
      <alignment horizontal="left" indent="1"/>
    </xf>
    <xf numFmtId="43" fontId="9" fillId="0" borderId="0" xfId="6" applyNumberFormat="1" applyFont="1" applyBorder="1"/>
    <xf numFmtId="0" fontId="13" fillId="0" borderId="0" xfId="0" applyFont="1"/>
    <xf numFmtId="44" fontId="9" fillId="0" borderId="0" xfId="5" applyFont="1" applyBorder="1"/>
    <xf numFmtId="0" fontId="7" fillId="0" borderId="0" xfId="8" applyFont="1"/>
    <xf numFmtId="0" fontId="8" fillId="0" borderId="1" xfId="9" applyNumberFormat="1" applyFont="1" applyAlignment="1">
      <alignment horizontal="right" indent="4"/>
    </xf>
    <xf numFmtId="0" fontId="8" fillId="0" borderId="1" xfId="10" applyNumberFormat="1" applyFont="1" applyAlignment="1">
      <alignment horizontal="right" indent="5"/>
    </xf>
    <xf numFmtId="44" fontId="8" fillId="0" borderId="1" xfId="11" applyNumberFormat="1" applyFont="1" applyBorder="1"/>
    <xf numFmtId="0" fontId="9" fillId="0" borderId="0" xfId="12" applyFont="1"/>
    <xf numFmtId="0" fontId="10" fillId="0" borderId="0" xfId="13" applyFont="1" applyAlignment="1">
      <alignment wrapText="1"/>
    </xf>
    <xf numFmtId="43" fontId="10" fillId="0" borderId="0" xfId="14" applyNumberFormat="1" applyFont="1" applyAlignment="1">
      <alignment horizontal="center"/>
    </xf>
    <xf numFmtId="0" fontId="9" fillId="0" borderId="0" xfId="16" applyNumberFormat="1" applyFont="1" applyBorder="1"/>
    <xf numFmtId="43" fontId="9" fillId="0" borderId="0" xfId="17" applyNumberFormat="1" applyFont="1"/>
    <xf numFmtId="43" fontId="9" fillId="0" borderId="0" xfId="18" quotePrefix="1" applyNumberFormat="1" applyFont="1" applyBorder="1" applyAlignment="1">
      <alignment horizontal="right"/>
    </xf>
    <xf numFmtId="0" fontId="10" fillId="0" borderId="0" xfId="19" applyFont="1" applyAlignment="1">
      <alignment horizontal="left" indent="1"/>
    </xf>
    <xf numFmtId="43" fontId="9" fillId="0" borderId="0" xfId="20" applyFont="1"/>
    <xf numFmtId="43" fontId="9" fillId="0" borderId="2" xfId="21" applyFont="1" applyBorder="1"/>
    <xf numFmtId="43" fontId="11" fillId="0" borderId="0" xfId="22" applyNumberFormat="1" applyFont="1"/>
    <xf numFmtId="43" fontId="11" fillId="0" borderId="0" xfId="23" applyFont="1"/>
    <xf numFmtId="0" fontId="10" fillId="0" borderId="0" xfId="24" applyFont="1" applyAlignment="1">
      <alignment horizontal="left"/>
    </xf>
    <xf numFmtId="0" fontId="9" fillId="0" borderId="0" xfId="26" applyFont="1" applyAlignment="1">
      <alignment horizontal="right" indent="4"/>
    </xf>
    <xf numFmtId="0" fontId="9" fillId="0" borderId="0" xfId="27" applyFont="1" applyAlignment="1">
      <alignment horizontal="right" indent="5"/>
    </xf>
    <xf numFmtId="0" fontId="10" fillId="0" borderId="0" xfId="28" applyFont="1" applyAlignment="1">
      <alignment horizontal="center" wrapText="1"/>
    </xf>
    <xf numFmtId="44" fontId="9" fillId="0" borderId="0" xfId="29" applyNumberFormat="1" applyFont="1"/>
    <xf numFmtId="0" fontId="10" fillId="0" borderId="0" xfId="30" applyFont="1" applyAlignment="1">
      <alignment horizontal="left" indent="1"/>
    </xf>
    <xf numFmtId="44" fontId="9" fillId="0" borderId="0" xfId="16" applyNumberFormat="1" applyFont="1" applyBorder="1"/>
    <xf numFmtId="44" fontId="14" fillId="0" borderId="0" xfId="7" applyNumberFormat="1"/>
    <xf numFmtId="43" fontId="14" fillId="0" borderId="0" xfId="7" applyNumberFormat="1"/>
    <xf numFmtId="44" fontId="4" fillId="0" borderId="1" xfId="6" applyNumberFormat="1"/>
    <xf numFmtId="0" fontId="15" fillId="0" borderId="0" xfId="31" applyAlignment="1">
      <alignment horizontal="center"/>
    </xf>
    <xf numFmtId="43" fontId="9" fillId="0" borderId="0" xfId="0" applyNumberFormat="1" applyFont="1"/>
    <xf numFmtId="0" fontId="11" fillId="0" borderId="0" xfId="0" applyFont="1" applyAlignment="1">
      <alignment horizontal="center"/>
    </xf>
    <xf numFmtId="43" fontId="10" fillId="0" borderId="0" xfId="14" applyNumberFormat="1" applyFont="1" applyAlignment="1" applyProtection="1">
      <alignment horizontal="center"/>
      <protection locked="0"/>
    </xf>
    <xf numFmtId="44" fontId="0" fillId="0" borderId="0" xfId="2" applyFont="1" applyProtection="1">
      <protection locked="0"/>
    </xf>
    <xf numFmtId="43" fontId="0" fillId="0" borderId="0" xfId="1" applyFont="1" applyProtection="1">
      <protection locked="0"/>
    </xf>
    <xf numFmtId="44" fontId="9" fillId="0" borderId="0" xfId="15" applyFont="1" applyBorder="1" applyProtection="1">
      <protection locked="0"/>
    </xf>
    <xf numFmtId="43" fontId="9" fillId="0" borderId="0" xfId="17" applyNumberFormat="1" applyFont="1" applyProtection="1">
      <protection locked="0"/>
    </xf>
    <xf numFmtId="43" fontId="9" fillId="0" borderId="0" xfId="1" applyFont="1" applyBorder="1" applyProtection="1">
      <protection locked="0"/>
    </xf>
    <xf numFmtId="44" fontId="9" fillId="0" borderId="0" xfId="2" applyFont="1" applyBorder="1" applyProtection="1">
      <protection locked="0"/>
    </xf>
    <xf numFmtId="43" fontId="9" fillId="0" borderId="0" xfId="18" quotePrefix="1" applyNumberFormat="1" applyFont="1" applyBorder="1" applyAlignment="1" applyProtection="1">
      <alignment horizontal="right"/>
      <protection locked="0"/>
    </xf>
  </cellXfs>
  <cellStyles count="32">
    <cellStyle name="/Jw+z5RdVUsRV9TtMEuKKVOUWgq5tlim1rOzQpRmV/VqF0otO1dlN0qsiaFkY9nVOltE653/+U+0cMLwSQTk7eZtuKgIB+dy-~vezPZ7rqmiR3oEJGZvsu9A==" xfId="18" xr:uid="{C0993391-21AF-4CBE-A0DC-09654A6CD5E1}"/>
    <cellStyle name="0LF0uZpqsWrn7m4iSmy5FY6VQLK9zKLeJtLGjD3JIwaTWwVTf13pQ3+mUSoHKNLDhA2j/duScds6OdPETmLGJEljE/9rDx4M-~ZAvDYT6+C3A8ATzSsc+M9Q==" xfId="11" xr:uid="{00000000-0005-0000-0000-00000C000000}"/>
    <cellStyle name="80HfdDCxsV58WiIV+SoTOqgN8yvfEkwbFjs0p52ikBohcuDE1YBF2yTCKGoK3kenn4OC1Oe4esGq9dWeQZ8wTosv14ofIcjx-~OIces7ZQzD0jgcxBGhr3AA==" xfId="23" xr:uid="{00000000-0005-0000-0000-000018000000}"/>
    <cellStyle name="8Fv8UhOrvuNdPgC9hEhW8SZjCpSRLrpTUVrENjzAa4v9l7RE0luPxOrteeZObIv14fF5CxtxoPwBeBHNL9PY7t3aQBy6dwSd-~rQvl7LCbZNcci4G7Z6BbZA==" xfId="29" xr:uid="{00000000-0005-0000-0000-00001E000000}"/>
    <cellStyle name="8tmWMvDGTIVHXUFvna3sVsL8SmfEr4HCt0wp1FllDvgFb0cdNe1Qy/fVQIvh7ZqdyZYJE7pLfUobm6Rs0FfJp1O++ybx1DXK-~1ORyDvvImiOe0Zs3g3GDJw==" xfId="21" xr:uid="{00000000-0005-0000-0000-000016000000}"/>
    <cellStyle name="aplRftEf7NXXPxzUKhrHIH4GTECmu3wv31N/kjKdEhrPIqCxdUR0DdieMjeEIJronzp+553z1hOZJY1jy1CgOxC1Pezzs62c-~qzKGSuwmQxKEfmem/LHL8w==" xfId="8" xr:uid="{00000000-0005-0000-0000-00000C000000}"/>
    <cellStyle name="auwD17Yk8/Qxfec5DKQVZw90Nwhx1Nhex7amiPaFg4ALDCY2YBtrEVkxxV280v/GYIbNrlgY/FSz0PtUqMte9Fs/P72FjjZb-~Wgznml2nC1IVfa0kz9pYXA==" xfId="14" xr:uid="{9495C4AD-B68C-41D3-A827-9C840DB77162}"/>
    <cellStyle name="aY/dF9AAzprzBTvVMXYuipA8KpHwbNeWwfWrgpfHDj7kjq6KL4xg0CtQPQhEhe+mRWtwcXv3y4TU1QI3IdMG3cuoHfvrneDU-~+BZyqq7UQsx0hGpE9PCZng==" xfId="12" xr:uid="{00000000-0005-0000-0000-00000D000000}"/>
    <cellStyle name="Comma" xfId="1" builtinId="3"/>
    <cellStyle name="Currency 2" xfId="2" xr:uid="{C0993391-21AF-4CBE-A0DC-09654A6CD5E1}"/>
    <cellStyle name="Custom Style 1" xfId="4" xr:uid="{00000000-0005-0000-0000-00000C000000}"/>
    <cellStyle name="Custom Style 2" xfId="5" xr:uid="{00000000-0005-0000-0000-00000F000000}"/>
    <cellStyle name="DC054LKqUHjknIySDUuQIYGe59CCHWxKIanG2029IUpzeg/q6YN99lS6sbiLDfy7R5XSO+4Sx0cL99o9iCjZF1cMlu62RM+r-~fKJWK25XMFKCy63jtJY2nQ==" xfId="10" xr:uid="{00000000-0005-0000-0000-00000B000000}"/>
    <cellStyle name="Ddt4MCLm7xV+lyqJiN6lkEH+soZj/gYBY9w53g4vkruZGXiGQqb/hIBeWOaAxSPtcBF50qlyd5e/4jUBdeFS8g4AVwkSHRwk-~zAz9rLDzZU2yZHD7prNytA==" xfId="16" xr:uid="{00000000-0005-0000-0000-00000F000000}"/>
    <cellStyle name="GP6lc1WlJIw9eTRKDnvyvV7LpAgPur+ZOXVg2TxxW3d3SWMLK/10rXdY/gPgUqNrVfnG+qTaX0a7zJ4hfNWwHIbsdUEFlkvH-~bH1uR2U1zed81KtTJovcDA==" xfId="28" xr:uid="{00000000-0005-0000-0000-00000C000000}"/>
    <cellStyle name="gZ8853srKWGXAuqRz6iqMJfTUCMxoNhwEejGWnZikFbXeua4XmcoNOsIlVBjTuUNVgC7ppnpRHMsjTufP5XImtUoNaEgVS2J-~woJXu+59LLcTETruyyYAIA==" xfId="13" xr:uid="{00000000-0005-0000-0000-00000C000000}"/>
    <cellStyle name="hLZhOJlxSVVIXLkBd1IHFbsGX5TmpDKyUdKKThfIf/1qDFoyHs5VgRBNirenZ78e7Uyac9b3XsJh9FaJnY0/jdVHbAQ8LJHX-~590clqFGSogUQLtMsYe7dg==" xfId="25" xr:uid="{9495C4AD-B68C-41D3-A827-9C840DB77162}"/>
    <cellStyle name="Hyperlink" xfId="31" builtinId="8"/>
    <cellStyle name="i7njezTJf3B4qebKS8kq47ExdNDEpCDvrwxaBZA+FY3P5uiVNjpArFapJ7P8rId7ZXwCEuQbv3CholtlzeJwYgtfdwzMNO8M-~RoXfoTjycf3C3DZL6tJRww==" xfId="17" xr:uid="{9495C4AD-B68C-41D3-A827-9C840DB77162}"/>
    <cellStyle name="LrLs5I2QAAsp3lss5Xr8k6DlMvehmkwyVsT7apc3b2pwP5RzWd8durzp9OzdV/rH9k1m/nT3vziVouBqFAsROeVWHVv4fEYB-~aPmGjVy92RrgFSow88/KYA==" xfId="9" xr:uid="{00000000-0005-0000-0000-00000A000000}"/>
    <cellStyle name="Normal" xfId="0" builtinId="0"/>
    <cellStyle name="Normal 2" xfId="3" xr:uid="{9495C4AD-B68C-41D3-A827-9C840DB77162}"/>
    <cellStyle name="NUbLKP8nVqP+iW3E1O58VvmOvZUy/VsHBJmRy6Q5i+RkV67yQ6K3rApLW0MFE/gjBgEYOHb9RJaWChzb5k1B+NjHNu4zKUOn-~0xuwM4JoQiJVUMAabq9ydg==" xfId="27" xr:uid="{00000000-0005-0000-0000-00001C000000}"/>
    <cellStyle name="q/fcea9exKHHvjUlPMEHviBqFKPKj8ynIemEMAVgZBpKKXGTCdHMu0M21J9jZw/bnXtFD7rH/DK1Y0vIlkSPTIVSlCvxKfgo-~yfXVF44TTWJNzwGWJlCT0Q==" xfId="7" xr:uid="{00000000-0005-0000-0000-000008000000}"/>
    <cellStyle name="shM0FjBoITATJfmodYATW6ytZu8CbkIfItVCskCpWPZE2oo2i13+7dav0fNZjYl2E9HmD2lGVykToe2o8NQ5y5wTpD6uYAM6-~+N/AXeN6NXVOFuJbYeTqmw==" xfId="22" xr:uid="{00000000-0005-0000-0000-000017000000}"/>
    <cellStyle name="Total" xfId="6" builtinId="25"/>
    <cellStyle name="tWoltEUMtUnbLVIaYCjFHQUEJ4j2dAza+OB8NMqFw6id9cWjLFVqiPTx+pjTNOTIvoOStsZqIoD/GBCnm5hT/lo4aeG4MxDP-~7UUIFsSdOv0Oq8NlUYRH0Q==" xfId="26" xr:uid="{00000000-0005-0000-0000-00001B000000}"/>
    <cellStyle name="vu4EHJZhllgWhbkby+vI+YALoDmQUsKaWCUkeCHcqH2XKlb3p2VF2iFomMBmvphDdK65WIoEnEJpqlByTqeUDARcyVyIyCNp-~hloLg2NOjYiLX9cghSrtUg==" xfId="24" xr:uid="{00000000-0005-0000-0000-00000C000000}"/>
    <cellStyle name="WkDuhi/ewKM4ujR0MCqkqvp0Dp49xxDbwAk1M/AS4ofvdYwfKUm2p41MpSsvgBDztAM08vcbb8sN9+J05PIS3vwyrLlz9ZvQ-~H50e2WU/nyMMSt7mjEPZsA==" xfId="15" xr:uid="{00000000-0005-0000-0000-000010000000}"/>
    <cellStyle name="Xm0sTXPahxobm3dbjCiZpOUrBSY5NKGLd3y3LWhKc68nbgRa1i3WfPADLgYvezeYd0PGvUBOyPoi/ivjqc7BAIuKuqBcKvs9-~n95ss0j+CIyT5mj3D5Swqg==" xfId="30" xr:uid="{00000000-0005-0000-0000-00000C000000}"/>
    <cellStyle name="xtdpqIXhQ1vx8LA+iFQJ5d68XAy+8vubifETZYmlLkgt3vuAXJ+h6lOGIoMOF4GKPywt9fw/smRuty42vWMUSwjrxib1rPWK-~NyXdR9PUHrG4yu87RLZ8/w==" xfId="19" xr:uid="{00000000-0005-0000-0000-00000C000000}"/>
    <cellStyle name="yHn3z+wnDGZUTOE2iKBy4xEkInvb9AFPEjJO4bSr2UIG/QjDVRZOf5F2b+3h8HUp7KCPTI2q3JMmupzupEfKX8Klr00K3+lM-~h0iEmZB1jJ9g2xsyiz10NQ==" xfId="20" xr:uid="{00000000-0005-0000-0000-00001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Array" Target="richData/rdarray.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20/07/relationships/rdRichValueWebImage" Target="richData/rdRichValueWebImage.xml"/><Relationship Id="rId23" Type="http://schemas.openxmlformats.org/officeDocument/2006/relationships/calcChain" Target="calcChain.xml"/><Relationship Id="rId10" Type="http://schemas.openxmlformats.org/officeDocument/2006/relationships/externalLink" Target="externalLinks/externalLink1.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microsoft.com/office/2017/06/relationships/rdRichValueTypes" Target="richData/rdRichValueTyp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7636</cx:pt>
          <cx:pt idx="1">21512</cx:pt>
          <cx:pt idx="2">24293</cx:pt>
          <cx:pt idx="3">1945</cx:pt>
          <cx:pt idx="4">34626</cx:pt>
        </cx:lvl>
      </cx:strDim>
      <cx:strDim type="cat">
        <cx:f>_xlchart.v6.1</cx:f>
        <cx:nf>_xlchart.v6.0</cx:nf>
      </cx:strDim>
      <cx:numDim type="colorVal">
        <cx:f>_xlchart.v6.3</cx:f>
        <cx:nf>_xlchart.v6.2</cx:nf>
      </cx:numDim>
    </cx:data>
  </cx:chartData>
  <cx:chart>
    <cx:title pos="t" align="ctr" overlay="0">
      <cx:tx>
        <cx:txData>
          <cx:v>Revenue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Revenue by State</a:t>
          </a:r>
        </a:p>
      </cx:txPr>
    </cx:title>
    <cx:plotArea>
      <cx:plotAreaRegion>
        <cx:series layoutId="regionMap" uniqueId="{E023CF67-A008-47C5-98F7-210BB8CB1340}">
          <cx:tx>
            <cx:txData>
              <cx:f>_xlchart.v6.2</cx:f>
              <cx:v>Totals</cx:v>
            </cx:txData>
          </cx:tx>
          <cx:dataId val="0"/>
          <cx:layoutPr>
            <cx:regionLabelLayout val="bestFitOnly"/>
            <cx:geography cultureLanguage="en-US" cultureRegion="US" attribution="Powered by Bing">
              <cx:geoCache provider="{E9337A44-BEBE-4D9F-B70C-5C5E7DAFC167}">
                <cx:binary>pHrZct04su2vVPj5sgrz0NF9HsDNPWm25PGFIcsy5wkESBBff1LVdbpdtq/r9L0RCikoDgkkcli5
Mv/+FP721D4/2l9C1/bz357CP16Vzo1/++23+al87h7nX7vqyQ7z8MX9+jR0vw1fvlRPz799to9r
1Re/EYTZb0/lo3XP4dV//R2+VjwPu0f3mPWuctudf7bb6+fZt27+6d3/y81fnn//zMM2Pv/j1ePn
rup31exs9eRe/XHr9PkfrwgjFL365bevP/LH7evHDt68KavhBy88P87uH68ShX7lmGmECJIca07x
q1/W53/eYr8qLDHmUlGhMUPi1S/9YF35j1cM/6olJ0JTLAX84fTVL/PgX25R9SvVEmHFKBHwulL/
Us3t0G7F0P9LGX9c/9L77naoejf/4xXmr34Z//nYy+Y4k1pjRTiXmCpMmGJw/+nxNaj/5en/k69J
sZQ956cloDHfkTo2r8t2zM+csSWlG5/faVrH/WiruMdryM+qdeMHPaPwhvdq/MBEPb9DtJ/fFQGR
7CtN/mB56vvVEQTbhwUSKgQmf16d9srmeNXsVC9seOQlC7cTKvvLnoekMlPVbgc9oiWdx6Fh5uey
KQEl/0k3ilKuMBNcIKkEoy+r+1o3JWlH4avplBf5+27KaepXX+mrRttB7MTI5SVBqhegJiEvAtPV
G1zb6mOIffws/TwtuzFu9Fy0xZw1wrcH11rfZHYaxJ0s1bilwUt+ytfOXeKRjnuGRmai9bmpQ6dx
ypa5uynJhsZU4gWnSE3TZlYs5c772G1G+TKZDHUimKUW5EOh+sYMc12aOKvhQs4sZnZo/euyn/v9
sLF+MYmjqtkXk9ZlqvOyTmnF0LvE2iRTjXzwIdo2ZXFqCiPF2F9bFoosKZN1MXagy3FLujxtkkhN
HZ3fTJTrMpkiF2U6ln2ZdiRs7/taddwks8aXfK3znbCbe6fWXM6mQu2KDMJlWAwcgDgq2mz7tWzF
IWhSpQkj62yQINNr7ZP6Ds1VhXd1MaEP7YDEbuglsjtVBp2tntpqv9CgNlOBK70OuSqCyadJtCay
0j1gP5QQTuTqT1rpttj1pHevQ+VVmWK6zrmpBEb7Dje5Mn3uGjoaLkacZKyI9KIPFq2mKCqymqbU
3tQ2MjjWOmFHvhCSmJYJa1bO38t6U1nJRX/b9Dbs52Ii1nheRsOsq3tToID3qK7t3rqV324tSQ6R
qOLzVJJl36Bqr92y7MBT9UkQ2b2OZFuocYOvz7FW9U5xJx9L6cZj7FDMdDu641bZIe4dcUU0siab
SKeFBZcuUz8flKvxRZ6ocNYK529pTfxRreU6mlby8pmtaLnBAw7cVL3snolkzWBInKiZeNV3RuNi
qsy2RE6NkFbUO/C9+7JIanrtm8rz0dR5J9Z7bLsqjGaS/bCkOc2nIq1D3mOjRtd87usyr5Rxtj4Q
NKyfm2bpsFmasltKM/bjgq7mSdvqcanadjzqfmHkZp5tfo4+0lOLaL28F6Eq9OXGyfAYE+p8mmsf
LHjFlLinPvd1u7PaTWUq3MCqzHnbJ9mQq+1q2XC/pTOSDmd+SWJ1v9Fh247bMhGfJnnf5WbobVfs
rC+L8SPTq21Nk/S8N3rjvU2LtUHHOBUlpALXX9pyrcbdhOjwOA+SnrDdWjD1gIbT1szNaywhaBah
hP03sepv6ujlNfHDpNOEaJBmX/a2lTm/t3nEazbxOZ9NubD5natEzYytFlh9KGQ8TkOIx2pYxw9z
zocP60L0bDRfxmVXruDI2Yx8SIxHwX9CtfXoqq4sR9c6X6lPRzIOj3ZuNd+NSRv3v4dyDTsvU1Z7
krlaQRxtErdch4rEt+1Mk2pIm5XGZj6EnORt3EEmwNsj996i8ayWCsGfptCagR1tuGC1GXBcl/d9
EdpqNknC+0e/uQ5Mx8b5YrBRXE8zhhUvwzIk+9W7qjYsseNhUqS92fpyCUYMFZnNjOtw56uC3LBh
AMeqctXeWN5OXdoXYuA7tS3LKQzSEYMWV3aXXWJlDSExrmC73chOPcZquWaTDbWJlOd+189WfkyW
ft0MKKfRaVvEHu8GJTZkfLkpa8pJrh8GnAzXpdh0t1OiHkyuEDsVJJCsWefh04zdGxpWcVq0rvkB
O73eedHSdpc0LF8OqlQTM1hV3WLIoPOU8TrfY4+aq5Iu+QSa2frLsl3tA2l8EEaWnj/xpRe1WSgu
98PaZDUZkpi2mIdL1tbDRV4u5aWX0c7GTao9hUmNPFPB4guatO6kCYnSgAElDw3kmQhb1tuO6akd
DJ46SVLB51kZPxBSm83Jfjv0K90g+i2itjuI40XKC872IYeAP3d0fvd7Hv3tn3DsjyT+T8zxNIyb
rYryDzz2r8v/ehg6+Pn7yzv//ucLoPv31dX/IMGfPnV4Hl5Q1/ztQ3/6Mizmj9W9gMU/XXyHHL+G
df/bm/874Ii1Yj8FjlePVf/8NXL8440/kKMQv2oqOBOUcKEo1wDN/kCOEv+KFJJMc/yCACWAuv8B
jvJXxpUkSmpEFCXo38CR0V8Rl5IjAI8aMaLlfwIcv8WNSkpNEXxHK6oFFt/gxk1TRt2WxOOQZ5vO
+Hal6pufA7DvRSgsOCAw/YJ3AUV/A79W3yYF0fG45BQiqTLgPkYJUOm/wPoPIOZfSXm5/xXIs7kO
gZcgRfYf5+TjEJ4dT///RADO/1qErAYGiRFE+Hgn0d1W7ab46eciMKIvX/kaySsFgY1JSaDSYBiw
/J+lzG0y1sUy2SNPevs0SIHWrEIryeQKonnetK8p6vIzan1+ppA29mGmIRN1wIctLOuhGq19S8pI
cVrFud5ZJ+8I7xa+g/i8Xmorqv2QW7SjLix7vOT5fYWIL43sfP2wNSoABJH1xSwWmaph/NipcVcr
NWftgJejr23K9VQik2gsIPDI8qodx800kx+MACBzIayvTyVq5QVSUXxIOgk5tORbeYWmRFy0Rbul
ESVzViZ8uXBF54Npgmt30Tf+0usuvqkcXJZjSdJaTk+CdPKcVx3NVAJofJaxOzAyX7KGuDeh39jd
mnt8SLxss4Ha+sQ61JjWY7afGzUZGUZ8pVDTZTVlwQQSltdUOvhIo9yljPWWDVGRzSzbjK/ynII/
1LpIi8GXd3m9rE/addvdEqmfU5EHmcqlBnlVfF57kb8vR2/rXafb+EasgtPdGvGztSFpUz4z9yWZ
WCjTULfuLSBjVe6DcOxuWRB86EXBnOGrAUCRM53rxlRsXOy6MXeXrcipMxUruiznvRxTWF+TakCQ
qW/r5Lou2LObE2bWzfnPdQxvWCTPutf8QyC8SJlPqveuCfUJbROoxJYThrzBnqMbrDblOsVjPaFg
6naEQ+B5dG89gu91AdZRB9mcO83nt1WyybQNk7zooFS5Grs1zyi3+ODntbxbW1Kfip4uO21Hu1+J
QgfIU7EBCC4KKE62HFLdhuo0tqo4842RY8QCBJAISHeq3WHtVHOseb3cN0P0927M4WGrZzAMVfG7
ttgGg9q8OSuqGICOwWeQvtmN0qBOM1Gc7zo7kh2B2HntVl3Xp5qIbj+2UzWZMFU4Tz0Uoa+Zz4u7
rajQfd37JphxrfgNaXF9KIsCHTCz+adccqrBSpL8mqx6gCqplNIbhnsoHPKc3WylJbutAJgeYsHO
22inyymR+DXu4nISehS3eUKTwzyW9FbirrhcGX+bd1O8c7Kc1zTwBR19OQlymqxrjfehDWlTlfkn
F3xr9LgOztDEJ4dhK9UXVjfqS1LkLp2Teb2wUFx8KjXCWeEnho1WCmXJ7LTJB/2ijxw1Yodj+NxO
M2hyXkKbAShGRzzj7dgpTS7bomAPKDQxyzeFoYRLOD4o2dsDX9n6XpF8+djnvLxD3YSOS0VasWM+
VGklK6hnOobVE25md5463117QFSPltL+qveFvgk40odWu60xgFoAA0+YX6yk2G7p0sR9MVp1Cxiu
f9xKvt7ZbQu3oS7ddZgncYmD3F5KCX7RjLQ/4Ikv6bg5cT9uVO1c3ABOr4laUo4ICJjwS/BqSe7u
bESyNxHljTS9EHxXKTrsl3xFX1glXGfKdijvJ7vUn3kU8xEvEISapJsPYBp8F4DC2I/bOB/csBbd
bh6reQdZhWUesemiXUWsTTlM5UMkXV6YYmnhmzwvxa7WMk+J7OMZVls8EDzE89Zs0wWHai5teV5N
aS16VBve1foETBLfD3UtdpIV+sRnPeyh+B+yERXJwZZN1cEGKNiEemFtACW4DG3WnhKLWtjGpLZ9
XuZJJnOf24ygVqdL7kAPYYjBkF6F276106d1cg7C2NLctQNTh7JGW+ogCnysKh2zYZHy6Ei9PEvU
xz0pFL8gPe4P61C1yqikHh/nZsCfAG/Om2l1lX+ZtW/fbnNYbzRGzfn3x0kv+H1XMnvaQtERE7lc
b9ZYh5tZbS5bVDNsGdgw8E+bUzuGi86a30VWcQTGR8xAUvntpSairUOfmsbN72Rw827hJTzKLE2y
qhLbVT8WdUrmgrxmfcg/1Kwc3i5V1x2c9v2B85hnVcTI1Anq0nVCOoWKqjmLwT8qTd1JSaEaU/ga
SpAcysF6bRoInna51g6B+vqSJ5nFuroSTViucOIKbTY8hOOQ6I1AJYzpyRK6FAappTvXMw6NkYNw
fsfqGI+uH2HBKIh41FUj7nGY0Xs3L/GuYjMc3dipKuWj6g9yFVC0xdGD2KpZ83OIajbY+iUd5JQ8
jJVY15d61GWKRnwJNao9+ZaWnzWGp5u2FvedFfwix4M+FGKed2QCFhC8P1EHQKP2RMekebvqSh/6
fhL3ehJJxpnVqXKuPxSNrlL7kuyA3oGCr5bhdhUyyShedDromZoyF+GW2o094m5qs34EAxc5a84R
LDqViLmsY6h/riGHn8iM5oe5EfEtGFJxK8qkuHG11/d93S2pYLM+VHbsD8pS8d4BIHXGVyS/bNe+
gMq+6/WB5Em4da6JdzFBy/PS58mbTo55Gh2QIDuViD/OqXEh/7IhWGxgdN0jNuJrXrXJQ5E3EGSA
iTrXLfFZwkP1ofezutPDEvYJ8vwd9Rt7t9iEvav5uF1DphL7ciqT3VZVyS4ZWXmUeT5cxSKxr4ey
6zNi+y5LGhquf9e64125G2albkiD9qjvB0h8c33B7YDNNJRD2vu4pgMY4j7wAV3IqeyzXtfu1G2O
ZuPU4RQYKQZOLPV29mRrb3KFixPuyq1Jf7flqHC80wlTgCsUu4iqCtdy7vOsa2WRYuaArOO8b27Q
VHcnsQXxXudQvrocMW5UBckQRQbHH6d41cxDvMLTrIEE0bRL0daUEAIxfl0m1SfbbOEagsJ2ImPe
30gb464auC/MNo/bWxQGzk0f1zqLfpv3Ejf6stVbbXwj6xvalMneU9Kcme/4Rb3GcIvlmmS5HcPN
JGdI3bLs3UFOQ0JNiJ1sdgTbvDIKlzqD3LSctC3ianI2j1era3uc9kBCPfgh9HsPAQcwUC/nC8yI
u5mKuKTWiyUtyjZebSsez1Mu1j0lONnM1PTJw4zQYFPVLYCYGZ1Nu0DYQMUMrun4CITCXHFg4pYX
jmxc+oPDffsWeTCnbowAq3WFP6GCbVesm+YdW1f0adOKeBOqgZqEzfm5nMExK8zJOYY13tlGyrNY
2ZYpt9mT2sgyGrot42Q6LYAYccsLt93PNN4hEcDnE9oOW5rDxQNLpsIZIHGXS++SOs3h0dua4hcS
OE75EegUdqgQjada5eKwTtXhZUc3sgwkjZqX1zgC7ZL6qrsnobHZoOo+i2OZHBwfnAV+diMft35T
NeSG6Z4udANurEouiny59eMmzcCATFrr5FlNTu4x699T32LT1lt+Cdtodi0aIHLyYrZ7peyaDW1B
DnleLaYHXHLBcm592k5IZoAQy/MYeZe6crsl4wsTNYvuSfbJ0xz5TSAz3ZOwdi+4bTqpUhIjY/Ww
DmVMrUqKI0SrAyhiSTFi/a7IO7vXjXqf9NSmrqbDYKp5yndqLQrTUOt2SLnk1PORZa0cYb/9yBmg
KiIYROz+Koz51diXRdosRZ+Jqh0qAxS4P8RYlx8Lv/BjE3AbzebDkgUVh/uRCRJNW6BpNh0pL8pa
jLd934zvk6LpDWT17sOcjP5pXKS4lxjY9V2rxubkly2eSaWbA2tLf0zKhofdUEzslikbb+tC2Pux
qJps6byEzkGw3U5EIbIgbZ7mtiwPrY71fpkaKMlRW52LGm/eYDd90jZ2F1gn9Biblmu7W4eCruNe
+dA0F3P/CeA9/hBEr66w9g6llvDhbplqmwCV5dfbPG7DyW2lPtRJOe+d8uCKXYdG0+ikLIy1cIq7
kPNPrGTTmi5l3G4YdvVdz92w99VmPwgL+MoEXJLrTWn3oWlLeW5Y1b/LN4lyM/WevkUvGVLgbjSo
VOUx9L2/KCvFrspudu96R/kxuGk9t7xYLtZka54cq/PSlBgOFzpo+e0ix+5zN0uULgKzx3muBwIu
Msozbgi7hP4bNyKBAhuY7Z5BrTszn22JY28osOBZk3PcmGpZyush2Z6bRar3ZJB9hnRUaVEAi8rn
tk7rBdovgPEipMKyK73xSVh3YrMQyeq2Ptbj0ppRSATHC9n2vEFVsRtKGoGrVLtiHuNurrqHpK3e
h95B/wSivAHiRu16vUFRjMd3ltZ014h2rQxicvI7Dsj4MGgBZFvTDZcutuRkbQ5QKiu6LS9oyppR
+eRI5zXpjlAuieR5c60fzWr5CXuh3rpk6g3UneoAVcxqSFLlb1qauEtIiu0tQMX6MWA6vKmnZno/
+jHIw5jwDQMVO1XNYRl4zk3TAKRhievvGMVrn85DFT42VpDFeLvW54X452JVK/Q/FL4MWvUXFJDt
Uz8ikW7QBNqJpLmOwwIsJVDO0Bhr5JSucFSXzTKupdHT6K4ZdEeuawBDpgYudM6U4tOVLUSezrYm
r8H/P7selcZDTtPGS9IYmrt41sPsbxsEJAMr2vJtsDOFxCVxhoHrv5tHOnyiCRD99bx+ZFu4j57M
bC9FueySfsWHeooQ2ceEpuBq7b3ScnVpWU72NUft3KW5mPei9Ggfl8UbDhZ/TNTADmUpoCPYiA2C
i/XyVHYaatOaFJ849FFND5HQcJoUe+hRyQcodSCfFLr7mHcS7cZCv2OBrRdoxOQAXyG7KUzunlXs
s2yVvVkGt30qYr7sl2ZVFehtq6+0juthsRI0Nih1mIo6WOBXQCk0l+/kUrKHahnsvvYVOKzVpVl7
wFRbKfSeJ/zgaEluoQZ5CwG5uQljFGfonQHXvDqRjW2fPw66AT7aruqYTLS+FiGPveEJVDHEAroN
M5/SYln7132cC0C4yV3Xde7k1Nbd5VUibuWEip2A5uQ1Lhf6BRd9nw71OmYWeP5z3pf+Btq55WXL
G37Pxlr3RbrFPPEf6j4xeQmNiA7CbbZAg3QXXUB3ee7FsV1Hnw6uGQ7QJWvvHURc40M/Zlov6GBb
/1D4mJsgkTjTYtgObrUfS93LY12UkLEACJ4hkCbHjurlEqCcPK+sK66hb9cA/h36L97VS7WDbvcn
OtXQf1HOT1ACTGXzaYA+HrrAo88voKdZ74AtWcHYZvLgSRK2NNGE6+uqtQVJh36agqF2GPl+6kOE
0qy0+rrfbPvQd7o3Hd/0oazmYjcChfUgyPwcgvMGRYAqdqL2jOL6JDlUDbwlXQqgCoqkaYHOK27q
U1dpnEE5cUyA4T+D/0MrshNvuwKwMcuH4giosN0B3fE0k8rvBrTlKaohv27reoQ2xKOEEiTU8ZJb
dAcYSgBzBjRR4hV+YrpdL9jAaSYmCkQKdDZvihwfF53kX0pB+S1HCbmbg/4yBZa8LcD13hAibbnj
8wDNQ21DvpthDMJAP204IB18Rqqp3wlXLEbB5ML1z4nQ71lQomHSQmimXgYb5Ddcqwgt6ZdE2ePK
gL9bEiDjqnEAm5wOUI93h59L+448Vi/SNKZIwZSAYN9wrjLwADhJ2uM2FNygGX5VnQxZW4zt7j8X
hQmVWr1MQ0Do+zO9i2YxAv2IYWOlKh5CzSBl1Au+Qm5p/mLyQX7HJBONiSSUMa1B4jc6xA1HW0tB
VG97f9m0rjkKWwPkBOM1UxG6w7CAcf3n+yOYYgo8HCf6W6G8yjFJhmo+bg1okTD4JSxQdlCT/tVk
h/7B/sChoYUhYeiGiW9U2UDwj+OY2GO3lTQ3bZ7UENxUfWoIMJot0B+344aBQWxjeeXbEP5Cvy9W
8WemnmhCKfRvhHrp0XxjNVvBxhI1xXxUXQIEfA8bFNP65uf6/HZ0RoFpwkgLUhy99Iok+bO9BAzp
wmlij84BdSuh7V+ZQtL8uiUoHuNGYGLE65ANFkDyz0X/yH5gOIkTBHMFL4NNfxatOQu4INS+kCRb
NlLuCuBVgAiWCWphWqUABLaVLs9+LvZHrk8ZAmwOJwuzUS/jPF91cuisxSArECunuj3jbnkjNFB+
hQCr1TCd8f9gsBRiDGIwNaUw/UbBhZ0QTtQG4mbHHyYyHaD4D9mUS/QXUQa/KOxbg6EwBcWgAodA
g75VaIx/nKWIfn2af7fNLfefgwPbTOYWXwGljA5CRfRY5i9k0gpU/M+1+yOjpVoJCYNQMCf2ndNI
6uJaIHuksmB3HMZqrsYCQuzPpfwooMIRvrSvEDQ+f29yfXWGLOTMsw5Cz+9RYKlzaEXoLRjM6vEv
zu9HG2JIAQdCgZWHcbs/m0sTfL9s0Iw/ruvU7sg6fBRq+Pjz7fyVjG8iacUdEZCo7RETdxWFPTDV
3f1cxA+NA+wPw+GAecjvjEPXarXE2eMI2PWq8IicyQATL3FZq/dlAhFm6hd0U1hos4y0QCeV07+K
aN+7HkWIQwsF/E8DdfFNRGN89DQZ9HQsMMzOuMGJdMXNdNkm9XRqRt3vfr7p7/UK8qTSGnAUwfJb
35ugrFLbSKdj1wcAKGKDcTos/wJKfG+LFHroHOYzhSIv05F/NhBdYBdt007HyhX+ZcSwSodxuZQ1
9DJ+vp0fSIJNKC6ZwJwy+Y2ZaBhwi9umhiOEth5Ay3xBN/kw2vrtz+X84JiwZDBWC2cFkYu9BO6v
vEuMXUO1lcMxViiz7WOi2rRu+rSa8vPPJZHvcyyMrn4l6pscCxyVgNEwEOUXDcR9zwrTrdI5E/Ti
s2np45uNAx7j0P+wu4kBu4/slH+Aadgkc5G4rIbu74HMQKN1lgIB3rHYnLmqx7OjITkVaxmv8hbq
QDb11PgCukVQV7msJa52Z7m04XodPDDYGwzppECzwZSQqOJfbJTB/O43sRkyOPT1EDgApvzbZNe2
MI6mew86nUv3Tnc9usaLer0JUT12MPl19m0L/dM2/2BDU+xlswFnEsRJiC6rOHRm8TQ2KfFvuhwK
IwdDlP3QvR5XdRVh+Mp0QzNlMwxkwbQrlSa3NSWmWAeYxVyIPCd14tPAhv9m78yW5La1rP0q/wtQ
QQCccNkkc6x5kErSDaM0cQAIgCNIPH2v1LFPW6nqqtZ/fSJsh8NyFZMTsPfaa30Z7DHbtvk4JjTD
cZocEl58KQJ4GRoBK9KC9Trnpc1cXC55gDPkuFrUQ9/oBv9LXFj1xqb1wrNGOXwIcLCECUr+s2et
aOcO1ceK69J4w+VMODvgri/7sulhrVoKZvevP3K/FzyMwaIYhAGH7YWfFzydDubZmlbveTIGB+it
7aYr+/EyYmbcwRY6XlaQXh+DmpcXrx/5hdcX1ZwfRRRenN97jr5cZ6+aIrWHzLV+nCNLPsOlRR5D
EjXfXz/UCycJgwdWI2gd+Pu8dMRcFP3mOql9O/eYiswEQzxMgobca1R/iAZRJ9mAATtMwhSi/esH
f+E8UVexCLNwdAbwmfy6fMSinCA7KbUfCl3vOqseS3gUs6RZ+z8uA4LTIkViOIxiHoZnCyI0oKHU
pJF7miRP66psTpNlwlvE2B8/pig3YJiCMQrdhx+dnZMZtJ7KeZLwFUw2dxGEV9bcWBtGWwhP3/70
AgY+w4lREhBMkc+3rbKWRgWyw2mFLdt7ZlUaM0TMdAbJxPDGNfz9BcTBUNqgNAgx0D7fvjp4Q6po
anFmXvBYMe+pc8m3ZmGPpY3eqEFO7/Kv9SkOhbY0wqlhzQ/PdsqWVfWqPBgxmJEbBq2U61CmsZxh
R1TzETLlW9Xoy0fkKEX5yQCHEMQvO5kXmDjRpyN2ZD4Kbp71Sh5ZLzr4OWH9riZ6+ee3DoU3+1l1
4IhnT2Q4oO8Yi1jsvWk6rnLeB4G4qSP/jcP8XtgEfuijNWRJjOrjXFCYE3+pa/zq/exR79GLVXAw
C3bE10/m91UERyE+io3kFK9Izh76xaOLahoi9j2DogWlJ5PN9CNW0V3TjRioJw6RBv3GKkl/3ylx
VCwccRiGHKvl2VGL1o0cbZ/Y83CFCi45ZDhlhLtaOKb0TmGIPaxc0tTTgaiy2HGDsZcf78alKw8S
c+StRVnk1vAUDBAiL41BcXAqCzpNwwvY4qL3nNpoX45D+Manf/HGJPzU/JCEB+c3BpaESmKyIfdQ
p9WmWXlz9BbonK/fmN9XWFwi+CohKXEa/1ZytkGHbaTUco/Egky1nve+II9JPL5VtbzwwoY8Qm2L
dShCD/vr6xPGkinTKSxEi2EwshTVYYn8Zfv62by0AkUoARKaoCnHtfv1KK7x6VJOnoB5aIDFGYkY
mGKmcTMM8svcBH9eRaNnhE0UW0aQ+P55h5rAO49QAV7RVRTfTteur6O7ti+eXj+rl16eBG97DEsu
GoPzx3gZhCJO4+WRdZjcipVgxFaE3zBs0du+DJOvVprmALVweGOremnNgyM2QF3NX2h6IJ36FQtm
sS9hjx+V9+yacmuaD6ZxD1iu3zjaSw882h6Khx2d5W8imcQ5xpEZxN6URuzaKIzvLG28/PWLSV56
RnARY4rtiMHmfLau8okuUwjJfZ9M1v9QV77eenAcp0XDZonZXGzfNyTR2aTH+aZblbgOZcx2VQJP
p1tNhMFyY3LSFdNG2gR+jGlq3upuyYtXHgm505vJQtQ/vz7IfTH4oW1b7DZLgDHB2D2TkesMrrLh
UMfJ07RAnYhNhSGGYvUHYefhUHD9uYKjw0VmPBrbBgeoSDyNVs+kvMJ5vH4hX7iOmGmjBI1jBnHx
fEOUMT5DvaDctsieGUfGrW9gpiwk/Cvr8+vHeuFykJ8eY6TyIBCflzGUrL4fJCNK+4J88yE45G3o
Pw+rVPuYq2YDqXx8o8J44aUjBBM7VDTYsX6T9ederktfapxeE36s6tLLKFw7mGP0LmV07d53ve1y
uDHm/Z+fKyFQMaFIoUA8XykDj8NumAx6j17tuotsD1VaIpIWlWklyg9rEpZ/XrfhgCcZgBJ0v8Hp
UvyjSce7Ysch6PTe88suW8kMV4Ji453teLtvIzTSr5/hC3sOjocaimFjQ7F49ga2RR8g4YpLu8wl
JhdBb3O/013O4Ij9/zkU9zlDmtKHzn+2IZg4qMdWoUUjXKtbpHpc2sdjdFFPhLyxfL30jDK8UKcc
wknpPytJZ1jilIMysB/a6XGq9Pcw7B7lgPtXl91dMqnxj5sjLGAIXdCQUIxPzl9AsmDWRgen9o46
ePxie99PfW6gA7xxoBcWZkjqfsgYlGfEOE738x/Ph3EWDrACLaAsQ8TMll3iusc3HgmG33FW0P9y
jLNngnuNaIIAx4Chn6RBXZvjEA7hPZ2iIi0k4pl1iVxkaHuTD1FTvte2j2EWwqwWkV0B8W+CG1LV
mPQGCxxwjJCNTVa5r9nYH10QVHeUl0um1rn4VBhf7doB5ix0t2sGG2xxqMIEQwp/WW5DxOtE2mB8
f+94C7OVIoPY6nbod/7cFRwN1FLeNNJHdajrOlWi7m+qJa52pB/Wgwxh0ZxZ1V7NXj/vE8Efay2G
DFdYbFtoRch+wSi4hzmxTbV1ZlNMVQizsLCXOmB1Zutm2r5+eV96NrGLxwTPCcOc4uzZjLqhG9cI
zyZsws/dMj4nlbkJmLdlrd4UHoJsrx/vpTccNTeKPcj3GAidHS+sVtWxclV75CNPmtO1peJgR/VG
8fq75BdAK8VgC1rmKbR+dphgERXrF672MJHfGVOfgpPJ1068xxD6CoaUbArp57JXb7RM7OXjQqXF
FUVzfV6QcdN2rbEhNBG9uo/V4iMl1AfeHYIuvtzAM4MepwvbYjOKuculgknQmxQW8o7OhxAu/7Cx
3oH5k7clY6CyAsZQPHBmh3knJti8+RKSGY36AiugiF2Z85FE0F5il5ekeKAiGLLEhV0qxiYQ6ehM
uWnwefJRmu/IfJDbJpFuZxbbbZHown9vXZhVw9hsYi+mHzoWvnUrXrrjEcMzxjGGww05XbJ/rBG1
P4StErPa++Pziklhulp/J8g4v/FkvbQW/eM454URUqit1NyqfRJKP1PQG7K2qjavP74vlTYRi9Gt
UszbonNEgd8hxNoFvdpj6JRkSOSmaMaftKjgqR/WN0JnLx4MeiV6Fo5023kTEfVYjJTEu+JVUYtO
1O3mwGzhAIWXeqzfuHwvLQQRZH/sFojs/Vb8ynVlUQMX1b5v+js6xFFGivVJy/77WMOzUEVvXMnf
aA9Jcuoe0PKfZFJM+M82YDcYieuLOq1ZZIWUFyXHxPX2QKHF55p51T4w3ZgthrP72i+q/Voi1FAC
LnGVlIAGcB2s72NEghDPKMrAvXE9XnpscZ8ZZCTotxhf//rYgi4xeEjZt3vbme+Mlx+QjH+QDD6S
15+oF48TJ+gU0f6eInO/HmeYvbUy8OPt0YkaqDnjs1o9m+upf2MjfalshTgF04Z/+kd89h4yy5Hg
gPdyPyIzUg2wuFp11+vw2CTkRurusZX8DaHipQf4H4c8L1gbF0h49Px279llV076Ow8kzO3Rsdfz
Gz0He+n5RUeKIRnKR/TCZ33RaJPAuCVusczQ9fNYmR+25lE2S5JkkG/LzDNenbVYkTd1d8oaeOTk
zOxh+uPz8BRAVHkqumTYTxSJBaTakDOqxv6hdFzniZIya4sh2S6xTT4kIVbNNALGIm29YcmdOEmb
mv7wLUWcRSf5YvzPjZ6uYcUxmxElX53MNm1XVm+mdqUPBqZrbPY0fONpeukq8FNSFxIHntvzASyY
BcOgkE/YO+MObnQkHf3gKTThBTRTJPpX+8YBX7rFp2QWjDIxxNbzy24aUq4diqF93XEPvripN1uH
7jdnZSELZOjhSX/9hfnpnTgrCOGYoThBvC5oM8/udOmtElNS2e6j1vGsslP0EFRkzhQIMReVlvKD
oW2SNwGckz/jAkk1yg/t5MbNCEvfzrMWzvXXP9QL1x3FxikCzREM/K3l5dGatCNlci94GWyqfo2u
VIWycW308NT0xO3hi/zy+jHJCyImXAlQfU6rdvxb71suoTPFjDd6cAWsrKwMtjCksu1Q9MOOxxFL
8aTAORnKDS/7Klsxk0HyIiD56x+EvbCGnXLhsGMQtDnBubzvwxoRtWPdIrfcMIxGTrmGmkl3B2+1
Ci9wZeLD2MCNjIjVkJYSIjLxWsxR676aby2z/nZdC/9jFaDwpqPzP6IsVrvK4pFCYkpsYeoLd7Dk
f19hxsaSPW+A+qk28AoHee+pcV9FXbxZqinOk/KCasEeBFPLDV5bhNBWvAhPVTLxo/TjT/60ijca
85fOHxMwZNDj04T+XDiC3NbIYWQ4fymWhwq2tP0CSMhTTbxq+/q1fulQMF7Da4A0OraNs10TQ6eu
a0/bEtesyk2XnNJ8ixFHXsny6fVj/bxv52/aSf1l6F6xDZ63/8qL5GTBqtqbOQSSZsTAGGEvF5Bd
YfScq1iSC6L94nZcqL0Ggaa8o6PHs4BJszPK7w8/P9B/8A1vcL8Ihj3/uHUnksQv2K//ks9fnlso
Z99/UsRONK1//cjf4C/QvaCbAh8FcQWq7Ynu9Tf4K3kXoPljWEH+Rnj9zW9g4TsYW8JTwcCwzMaA
NPwb/OW/oxRaLId0DA8YSuE/4Tecntl/Pmb4LTDr4FP40Hh/XzwbYmgwsMDbc88DwaVu4JSbeDC8
UQCdvzqnwwAUAQ8p3tRTWf1rpeXI0IMfNHtYLgPyKHS75mzyk5vWzl77xn5wvi3iWJDp8N6gTcCy
eGKm/bPpwb1oUFawYo/YJb/xo36+wriAHQPoCLcmauu3NiD2Wz3NQ6itaEwAqoMDEJSKXw+5CLjf
CeI3e+Rb4IgvOj1e6n4qEUXxWh1mCbf8A7zDjG59jJkZEhwIRu0ibanadSFsReE8B4hJLKreGSiN
WGJOZLOV9/4XtdT9ZceRfuyKku+s62vo8CvNVLGo49qT9k4KyXfS68f3ZIzUkc+oBLyira+Ldayv
g7JBF8pKVe0Q4m8PdTmsm24c2jvqBe47lE33oRJB/yE25RWW6HpjY6myyUjgjigTV5CfoiSrsL+g
O5naH445feOYbd5THwgf5RdyGyKimBEwbyDRK7v3daGBt+joLpkRd+i71W5A+gIqaGTDRUxGfd0b
BENGKdizL0tvLyMot6737L5DkVGmwcKxsyYe1V+HpG0vI9cuELEdIjZ+ZxNkjZJg6w+0/1QLj1uR
L1UfD2A1rLa0wyfYKMN1uKyUabaxgh6d2QLPeeZXGmkln7Xqy9TH5lMDx9BTwwW956UPEpr1B/6t
SQaE/Ag8Uqgy6aoxHIWqvu0xlz3ldln1RVQyCbMaY/wbX84JmAtBqS/jyU4XsGXYD8nqZCaKus8p
lXj2GlcOENCa8KZmCE0utQ8bdbPeVx2PNgPx+09trOetRlp3m8yRFyKIHbXf+ratdoCpfV17jDdK
eMcuSp4gx0Mcgs2bARenUoW86mTrnjCz9O6Yqt2l74rTFHUh4hDB9Oflom4KADe09xBENUhzcJju
EdYYNmytxaXflNO3cojGL4Ksjdy40kVq4401P+ISDDlSvF+7UULOs/014isz4hTym4/IfhqJAGix
ESZpUb7ngwc/SGHkzjOgCDivXTIEvaH+weYJjEMN1pEZLxqvD5DjHOEdj/ykeQ4TpL6cF39mxcTy
SkcrsmxRd1+AC3EZVcNtuFgLiFgSB3i08fYsIZ2vmAjopiHz96WNvW3Ye+OVoMqBf4BUJO5s+MUg
1HZTc0VzgfjvfReOXqbG5L7rOFqB0H30pp5dU1fRDV3dcO3Fzm0sB8hMKT5lJeHzdm2DO2XbJzim
Nd3XsN3MQYrMQrV+VVEtaFrM06TzCCGqRqZrYkBXAjRlzkXZinATUVQ82Sq7yF0mFsOLg+R+ubZZ
VXa+D1O7V7oPYrAB0m4LBQyjxIWA6D6t89A8Bn0Dv5JMAcNCC/MYr2O1QdI6LnOwUCCveoWowzTs
/CjlY6IQu59dFH9cvKBMtvEqaHhoEzv4OYLNa7IdmqEGmapsx2hbCuvK+1mE+D+ZqefyOup6lOa6
7ZW9LSOvTBhia91QXfDCm5F3HAobfqKmAqkk9ZGrrjYWKh/90EzWQ6IFVWL8LV4q3KhqrEbvCINb
OfUPAn42hC4IH8QnLzTigc9tvet9hWVYt3G4n310CHGxej2QcbSAY2mK2DFcZu2nFuZVJKs85A3D
kbGjpUUHvMMS7mnr+XG6oChac7Qi5JFWumzSoTv957iIiod1hUc6ourE8yMKTEXB2EHLBcedArXm
YpIwVQy+OtaL5ZsRTYrKQHdENtFLrL7ogmDowGmJyZZEg85lX6tNaPiYwYwAxg20gxZ3oOCflx7/
1o2eeoCHrgChQXmTyeFCa+8WFpjvAeycl/ggdblF8lBfGJDFXD5FCKVt+tXqQwL8wo0M6+gZ7gZ8
PiZnsi2GuL3zrIhFJpIWn82LDP4s9Mb2B016+YH543IrRRO5PHGtfijbqjbAZeiJYPEAZxLv7V/p
k/9UgW9UgRSTCZRg/wZK/VYGXn+3/+/4vR++r/+sBP/6sb9KwZi9w2AIxVwQoF9FNYQq6W+SV/gO
ZhiYfeAh9Rmh+JO/SV7kHWYDMfyEIawgMbI4/1MJJu+g60JowJ/4wWks+ieVIKyK57UgLEfxibMF
JRjoqHPJiHagFLApRPExezXLVM/GDUCzvbioijm8WGDMnR9KMOaO2q+r6TCDNXtXGW9udwIRY5H1
/YzGsjphIcAVYWlxWiuoWQBCKougvoPY4+9iAZtuyTvweRbPXpeCVCwna1E8LlSFH7FfPUuyIkso
20cMdsIHZPvc3dDzR31id0hYhYJURxKoRBgHhxTpWHc1gY8DuR9y2v0QIWE/mtH/yAVpItD2anqv
lBXHoZ/HjT7xMyKDH/yJqoC0sly3ix5y4oFmUDiISO3g8R8oLLAAGX3a5ObW9Ydybk4kkUWYZzaT
ceMsjJUugKPl54USrkvyk9CA+w92qTecli8MbQ+h6F2yg8cHToEGlAuHkVoWAwSF1Sq0A5BDygCF
ELW85U9zA75kpmTiI7w3uqvIgKSB6bvbtz4AkKMd+sPswTvjSAKpTCFOsx3qkWM8pdH9VyPvw9Oc
DhFYC1IABOVkanNqSu/TNLHwASjQtk2jiZFLTLO5v7MhAY1FyDjJ53IiH/v2Jwly8fHbZFstN4mR
3g8HOSBbGOzholqqb54clmsDY+ru5+cbTp8KTzbcpg3+eaByxM1QQBllGNYo0DV6sFUm7GmZTozb
1hoX+SfYRbkZe0481vSyTBBLxtI8CkzcIlpU1b6QRLh9NIw921ZhLOodc6fsflM4L1WeBkUk0Ie5
DwCBREZz2o4ARn40HgrtLTErIFJ4VNDOjC2eBUTrj80ExgmOXmd8GMJ6E8Ci9qBbJz/0MKo/VKZf
P3amGi4Txfhj4+ZkWzHaR3nXduyoALS4KLqgesJQiAFmA8nLM7jZgEQimyzGsM5mjZNsHBgwoaOQ
UUKfB6kIuxGVEh+jFAYR98mBQLlLTjgTKSn7YSNE8BHcb1ugGplbqrykSDtveeOPFYAhGr8L0U2z
jXRELUWHP+MOp3Ov42YzlmK4L1q+XtXOioxpUSMc6xdXLRqdJZsxetvBpEK2vazYBzkl8PAki6dT
EVVc5guUowQTIX94AC/1Y4iM+CVMHE/g/6xNBkAoMtjN5Dy3mYW8akvwvbIBYvq2ThzAljE1GbiW
6lgWSUBT0HT7G+ekvh1Qrd8NHotg1Vvb27AOyHEqFU8JEDObFm3b3sXRuIHw4Y7w0wnQJKhlmZUh
e7/A/wHM0YpNtugRQrYLioBgEHgxqKrxUNlCbNU4LxuqR2AasOe6bLKDt+sMG64mxpubBTDhC+XZ
8HYMS7qZqxl1lB8P/oT6R2KTTjweAELSIQprFz/+ODuvvioIKU+ldoNmXx/6FbfeGS5yoJQizAKJ
xqxpbVikQAXy42fXcbz0XtMval/qtnvouG+ajZ1JtZkQcq5TTyDgsISrv3FNV2EAbTD29o3+4EXh
uqNdDFQ2Wz2wuvrS+N5GrY6YFFioIKdANW/YpEKCVzlEWTUBl5zPUbReWEhAd9XihieO82eHoHAg
tMHzfgrUu7I/TkVTZd4aTS5FRlwAC6dgk0HfNE2Zq2JNsliZPuslrR6juPRdtkjUk7Rvm4t5bMSa
zT1qDR8ItBpCphmyns/LrvJLtFFr+6yd3236eqUHXXTxtV4nYEeFxOI/ARy45XZpGA6BzHTmMFi6
7RMhjrGak1xbLOY0mrEqDdFUfPq5snRiLH7wpRVHqU8UIgLwzb/eIoNs8cPisEb1ILyBFuBjWZ2p
BqUoXrHDAMCtdkuJ5dkouIvxOlh6T8LTgcaqX0B5HvBJJJhhV9a3IKpU1uPqGrv9ej30oErlWkOb
HiblrvoEjLH/iGb/J1g+QSjrtXLpSisM035RzWBlPP3MX7USTGzvIElFUFtR4JCf5Pu/aiVYk96B
NwpdLsKYH+Ei+j/FEodshqwAqqwE4WjEav9dLAUB6qgARirIXAgSQC7/k2IJ+IpfiyUfMHhMKPEX
0OQUlr0zMdg4LWhRrNVNbAwI7dJrPQSLKhpmYReJdR9DCAd7SJRVU6c1M1cllV4mQc39NhQAxKQx
QGcmS/yqWw6V61oFXnscfXU95ZtW1QgDB61ZL3UnevlUw8N0qQfnf2tYuWAZRb8JHQQFENofDz3x
DogF/R7BqpgegL6b5+PC6t5e9QadPMzWi0pXKsETWSNxZQgPMjIVYxqu3iUUH1OnUGNAhWqUA29i
7T/PEwUWjlbyEOAbAdZsRWn1HXLkhMjuadjBkwJtM+JCIRDSUVVfYdpoQReb4r0Hw9Nh1m1jALBW
C/Ax3o42E8015U9WLXBtgljcZm0JOlO6rq55WsLBZGwC2GFal8uKEyhgjSM9IbkVpBjzSctmGdKY
9SHoKIqCOoHx+JA5tMAYtOHO4yr7biK3Na3Dk9wy3A7GNtGFBYb7K67IeiEG3hT9I4yY7jD2AaiX
F3FfLmAt9yQ1gY0Ws+sTU8kNhaR+pQEbqQOJucIKS6LaRg44KJLZoKpGtoccBJAf5A1h5im+cFDu
eu4yMsBAuGxsJaammlOMfhaYS0groCWA/wepLUL0jcCLLw5IqsWxyQ0ssZ9m2M3vhwEYQ4lZ3vIN
fArT/OANGX5gOIOd8ZoqeDnIQ9wWZBuNdayH1MRF/NFYOQVp1wJeYUusspGaDC5ULwoMnSQ4qnXA
FUPKT9wRovuNX6OKBU3D3sCoOad+XTd4LBeh89Vgh/WQyT0mjdAb0Czd1tVgvQhd3ZDaLPdjNAV1
XniS5jXvoffJbiyPSTLGAaoSXO2Mgi+19xWQ3BgQrZAf0DRsHbJlz5oa+ZUig86AYhqiEJKgq9Ix
Adg7LTGgYvD4c3IcGEqlgJXy2LR1Q/aBmj5XTTCPmdNBeHuyYYZgTZkSDqLAvyiboN22S+jtZgbS
U4zDXUkkvXbYQpY7pUeCSZYAkjggRZy2XYJKAul+cUHBtLcpwlFznohIHWbrh9f1WDQUwpQMLqOk
cUdVOD+Fff0kFlTP+IzNNvFbsp0k5JJqAPtoCqJLhO4H2I1E8bnqKw5Lmpuh4bJgI4ASO04kNu+b
wV0DvxrenZ7sm4JAkkEbCJJUR65cE68pOvcRqEagQU7gNbQZzPg/NAy2NzoU5cfS1O6i7wJ40VCH
7QcZmXSto3LXNLPYFTW+vqDozPCNWjjvTNTzhzKAhBixhF7iuxw+OOrfKNZAzvCK6FK4Obw0decB
SjPYp7DTpyoPFKDLpWb0EzgkiJNPq9Ml0hk+u48oyEgE5LEfXpxA6hhxNbbCgUY3jfIrjCQ862sM
6HNvWjueijkKHgyzINbSeNZfg2QtH8MmAJhFiz78MrZIjSlU4PgdxjvIRNKMgTSYdtMsD9aP9FEs
AL0nTdNsirlZtkyVyX4J4Tm0BkVEOkVLs0VdB+hgDIj8BeHV9Ij9XmQS1+dxWLo7PNb6HkTeS24r
LwtFwfcADRswKVkXH5Peq3kKR0TyDbCr6pbLpAZeWqtvce1zoMpWNFCmRbhgs+rAT1efHIqouR/b
PjmsbF5ygaf7AZx406bErnTPJ1ZkdnTvEx+cwXUJS8hQcVdfN3LGyj757DOAZ7AhVJOXLxY59nxB
iuFTmFieM2LcvV7QSgRxb59EBXNDyBp9hS8eQR5sjpev3qLmzUzZ+APKnZehpQB9U1bDbsEY5CN0
z/bGkZrfzICP3a5grGyJLMdb2vcG+qz1H2LSO5ENHbJRW62HcgMui/+cwDSQB0iF3jdg4o7ZaisG
oX/yUkC7yh+g0/p7Nav4E8No2EMurufIGVqZVeM6R2lSVjZXGis/sudeGkO5vqIdSPJ4I9k2KAl9
X3bcAI4TVkcNuO9tB/hPPnb+jCvLq/U7BibjA6yekAM6NH35AORIB4rXCa+0dFFKyEwPDoDXKQto
971ta7Yhi+YwmVJ9hXaqyTzW9ZdOaXsnwd+D3sqvuhm2cFSI4OEeGBBTV5VPuhy9R/NZDjN9bOD3
uYpNsj74loAR7KEZug/4Mu7nZFwOeilqaAxFcAKY1f5NPxvx1HLdPZWJ6m/VJIsPBuL+xbQA6VPZ
xL0Hv23dILXQ7MACXYHEBcrLh0ulygOcrc6WkfrjQUmHGrSMp/cBjKf4rpJgULlXhyqDrURv8J02
/m0HfZdt4qTQRwV8w5i1wq7AwK6tyOqe0A0QUwzXcbQfgyWG/DtXEcDd+BKNrOkKdyQ1ib4iUeZ7
mS5UfVuOlc2ixudPqwuHvR84bPSJ8kEJHsqh3kLFji7j2pjHIp77MvXCPgLeqEjqAIC85XLqwI0a
DFzA/zIw/0dLfENLRDGLYvJ/lxL/qxfPange/ikk/utn/h4p83eoZFF/AlAN0xUydP/WEXnwDhB+
jvzHSbtIfn5ZwF9CIovehfgRKHsQIeGGP6mPf3+XFL4SANPpEN98cwILoZ79k9oY9e+vtfEpoUEQ
kYQ1BpFTfNKz2hjEbBoYOgWHUCYJ7L7efN2jX9+5olqOsuxCZFE1QCza2vVbiLL3MhRBVwLnSew9
grggeA3Ge5ax9K8Ect7XThXsMWqaGkxAFLTA5gXxdSXn4X4Fm+uxHUK5E9NcH9oyIp+1KZKNBIL+
iLn7ZlyH7gumKc1+AQ8KtXgD43w6TMZ99Y3wshoGGorFRtCHfqhh5lBSXRQxk7sJ4E+2jOpKhyfJ
SBYtev22OpJ5sAcFaDBqWC9iObwX8bHtMC+FJ3650SaROyMTfE3NANEwjaOF3i3exK/jWvhXZK39
qxVN/5zOmnVbGhO5I5qWH0EN5tfEE7dkiaargpJH5686J1ExpaoLuIcG3rAfbF2Bb2sBD0/IrJDz
b/vxlq8E3znSxGzDghCVci/raQczrvlmLQ7Cegbzc93LHRAF4n0XNBGo5jJodqZdmj0fxjG3gW1z
P15JNhI6PemkLm5AhLZ3o67dV75afJtTP7G7Eu78PaBz/XXE8C0tyEnVGfIQ9RZi7XQBcnH3BTLy
ks+qjLegH847AF9xGsgopIFA2BDfwEKBWQ2mbx5n8CGFa8awSVBVQskAp2SqpZ8KX6t8CCFkCdMe
vASFAkYhedlpDDrnvtt13Rz+AC0RJsIGNcAYBXYX+bw40LZqb4mLHd2eAgzHasW3omyYa6YLE6zN
h3Kt+ae4A3cB1bg5FgYDPzPb7pFDo75yMJZfYWaGL6XCdLB+KsZguGzgIH8AXcHs2gC8pdR22t+H
iwRLQsAWdOfWuL4CD91t1ziWMsX4M75XtQEWHUzHJK8HNl9GtvZvwamNj7r8b/bOozluJF3Xf+XE
3eMGvFncTaEsnWhEtsQNgpTU8CaBBBLArz9PstQzTfY9Usz+TMQMY6gqAkik+cxrJOKFGqL5bZzn
7ibx/eq4zKNz6Uuap3Xn51/HMMh1MdK6adLOu6uBjh/nDJ1d05icS1t57bEfWwSS3XagVOlQn62H
6lQbI6WQRCUb0F/hjS06+2sDmvpapG55yi2MlZClhONQlwNMCTfzPlWdurQz5TIdRQ/bSFK7SuVL
NoacUMtcWjtUfYMX4agfnpjrU7p0E3DK2ju1IkEvMezC7RI09pPjlt8W5XRkEalrfw3C5nM7OevT
MHTLYSUruGsz3282M8LjF54xoE5IS8S8ySYoC7EyfPECfK64DdJSVITATvQN35/s0Ex8KV3z6jHM
UeWeHIM0ZirrS7RQ651ynPzkj6jLg2iuHwJnkK9OCARiI+HMyrbBukf5F60SiFiHPkS8gFw7r4ry
jjJQde8l1dFflESXem1OLsoG26Eby83IZvlVtlF+CiAN7JfcEVsknqhJNnNxT+MQE4RZtLFTUmtb
M01O6bzyS2Aa8yPVNeMOJGQb80IDE9uEkrTat7pbA0swVfniEhH5sIgj5BcpyR+SQZnXIcZkB1Hd
4agxfTES1SL66Vh3hZk6x4Z2zRBTAZxuyK76b5iucCeuuVUmypytpeYdcFvYNhkCM19ksIhu05lr
lW9UsLS7Zl3ST+vQlgdjlrAZlsUL4n5CsB6EBUSTNFl21MCGYbO24xhuEU98TNcFRFAFq57eZyrY
5gZqiFHXk3Z1ortemsTcWZbxpbDLPsQcbXV2eRXRlfUF3f4eQ7zKyP+gZW5i3jWYO9QSxcYmt3yt
/Gy9TNosuvPq0D9RjJ9rNDANeZdLo9wGQRN7TTe8+EiKHwoTfq2JALCMu9oxb6awNeMQGnm1scPK
39VOGz1FnBo3OL1lfwALya/IwZ6jVfpHTsSV4sUwIejoknZMqrgaENKPMa2JrurR7W9lkYjrwlTi
yUjy6mYo627XWkO6h52Wblc763beIJw/SlXbR1/ylH0StvtsLuwfyKiM18pDeMAlCuVwGVf3S1ZX
+aO0LYRfCa6ivVNE6WFcs3LXLkivGFaS3VoW9VUcDb0Nse/8YNKZ0Nrx63ZZZLcbZju8JK9CY3rG
ceCTExSKiWapGEFvT/Bmx/WwpM54aPJZnspo7R6xcznkFuXncknW25J8eNdNE1iXRZprEY9G40KS
nfe+AABuTal9ga9b+ayEXW4V9bTNZHHc5izxyyGxuyOotZk2geijryUiNtu6UeaXKgHkxM6UnRKJ
gwWsk9t1LIxvnRuYF50MjX2dBgPVgqY6ea6R7IHFDHfVosJHOhG4YJnCfMjwDuNyQWLEy2L4eycL
+pt+Ea/NsC7fqOKw/Y+9XJHdnt30MDvK2q5oTm3swbj0GtOeJD23fEbkoVVebVAQGs2cHS0374Cf
9Zz9RZF+Hj1t3VGMArcY+jnyTqTw9lFXj/LN3AXo9q9DrxrQAqH4k9ykPE1VhpztrIyr3K53S9jU
t9PUlEfpjV+9HoYne63IMFtU42sp/a9enr1AwfszqNavYTvfQwgHErDSzWkcUZ/6Jlh2vcg/0/Po
LrosCD6TSNhPZaGab+DJ5j/wffsaTo1vMNXzRfblRZfyFONFJwYxyUPlz2L1rwm1cD3brKjFe7tc
Nz122KRlV7PtYQCp5jG8FVIs/pfBT/5EfMYJj9WkeHFgFGyQYCDvkAQ3D+NC1HOos669zjthtF87
NlBir2jaWth+7UW5pPVFaJT9dlCFvSXIKy8BmVPF6PPgK+q14tkMkrS4TZBBuAwySHmQKtcsOVQI
SoNRmAe1UplKpVd8x5lxMB49kcwe0K8pIQ028rI9CcT5to1hLoce+ud+8oc/SHnUpp/TamsuvEmZ
un8gTqGOft4F8VLL8YZPzvuINiW+NdlF3rvY/NiAwEyjRYY45ZQxAuCFxCKPzUoJL4M8fMEJYjwg
UJ9egVey4rSh6j+BvLnpeZsXK5UmmeXqxS3R0O8j39gMrjEerGZeNs2owy1nRbKd2nR/meenMtmX
gb/gXpfIY1g5blyKMD9QyzLRMnbv6jUbtoUw0tPqptRGkiS56Gs7v5BmeuVbsBjMwOquAFNJvF8C
8Tw6CFKFdIcOuZjyfSGHaGekZkJnhaafStxu3rRZyUGW0IHxeM3H0ezodaL+SmcxwZSERs8Sd2WX
zzDUYPZ+9/EhDf+gzYXc/bcRtejSe6RnScSBuheA7OoMtvzfJO63SZxL/vSrJC5f2/cNDorqfOVf
/Q1aFYh8OOigOJb7hlL9V38DyDB4YZ0/vWV3/+5vOAH9Db4F3p1mCQT4v+Vw4ETgjgGDR+nHg3j8
n6RwMJXfp3AodgJpfUOCkMuBV9Eg278xB2sRDMNc+uqKwi++TZR6lMTceRN6Pn4U6N+FKBAXIpDr
eCht+ATmHxJim7Ur8S8ZPtu1K9d+Y7Ed27sKWhu1eLBUjejCh9znaPdlPBZNbuFNqWa32VM+bvB2
RPP8WEASMZCEgfFST6d+rOphIi6RcLW7azh5RQO2KgffSE+/ufKSYr4AZTuZJ8L55XpxQZIUjugu
gNB/AYYxYUYz4XhhztGWA7W7KuoBAG0xA5PyvNL+nKEGh/ZdBo5tE9UK98Own/CUBe2viHxWULw+
G/H9Wk7eC+sPgFgjh+k6NzNtnZNJasr9NOYr0WxqkmHNU3WYkSoIt17UEpvWKT3SCFdXjJTY3g7C
MEAx+FjZHNjykQ43Koy+shq5ny7p1b5Y+wAbVzTIyftQtZ/jekqmT7aXNF+lWqx75WfNdGjRt9tm
wwB0MO3QcY2HFD0dwpd+W3hi+kKPY3lKtHxHTPjWzdhlhnjNJL3Hg7qJOdpf0M0TVxoCchhsv9+5
VjntfII7C/JQf6Xa1uq2gRuoHSKdWaddZryTDzDtKSro09hSRcMhL1wh99mAsdAG+0p3a+CPYt7R
BNvZYOLqgyOrJPZbb17xJpYB1gsFLQdvqqcAGz+3b7fmSBzU+VONzSk1wDmdxnAPFUztlCxaGkX2
lO4XG4Md3SbvPNoslfozSHLzZfUsUHWedqXWaNud2bjLS42VIMlfX3sHHEC6B6vps8vSl9UXQlB/
k5gTkVRnpJJjMkvNrd0Hn+p66bd0r9l9M+xzsDCuLCaNNVsTrZBK7Bcti0CkgjmVJ7AsTbCrGIWb
XmQR5F7sIOryARdQD9/gbAQdWxg4JdBPOMk6wKHBC5JnHZyQERaYb6GLZxGGD6g2H1Ip7M8JCftJ
9XWwt6tJ67g3yfAQutM3U3nGdlrCdZuE/YKtU7XkpzbocGFZ0hl4UOqjrV/7lQs4xwu/apT5YRoy
quXegEPLFn9iDD0BTDrbIRGfMbbob0Rorq804ZLtKNLlacy7+pisIDVBLplRsemwdYZRZgyfFpp0
N8IrCg5LDKfyjT3lSexhi7e1sqR99FMhN7qpfmqiPP1DgkSeN6FMqvuSGlA8rGV3mHDKky25Vx+g
67rx3NK88zIxxoucHTomjWsrdpbESi67DouR0ZPdp75Oov3gm9WPxiqXEwB4qqiZQEBoXiJt0fyt
MClROsiXxx7FymNRRbgOufbLrJY/vKr34gZ72nkbTQiRl1vo1bxHtekErgf+LXCRhMQQcI4//qVb
97+n4vlU/Nay1/bL/Y80b5u/lynfhMr+50Pxscnlj+//9SBf5I935c237/08GbXfaeA4LAjOC60a
/a/qphXY/9cDJwcFy/mru/+zuIkTKpqb6A1wBr6hJ39WNi0gkg5SHLjbU0eDTPwfmZ06mjryb7aM
xhNAlIHogcCkT2niI40Fl7++sVTp/cBHW44RhREXP+XY7CYoFJ43duULfsbesG/EMizuVto4g8yx
0Sbma9r0bkNNHn+dAMaYt4xbPFMacVTIWQzXlVd3uA+15ex1rx4SAnO7NagLAV9JoWJaPwJw7eN9
haRF9YIqZJd8c2pH+Depn1MV3NRWPnArbuf19afMMqWiTIrqRdkhZ+HBnwAqILjltK6t5dKunab4
0xjwYa7OZf13Nr//hSD/LWxvOfy///MeRer66LrYZKZa6IvX9w9Vc9wKc7T3svAHBYymEEdZu5V7
rNxp6APEUVOZoz5KUJH/WZkJ9l37v4VZt+eX8ffLfyDOcX1AsoA8UM7TlBxu5n3kshaoMVE7z78j
bOeUeSxbxBHZTyPbEMW+nxVioNs+I8fAQsk11q65Va6zDHZsuauvnAu0V5sB46RWOL11E3mh4N9+
fZO6AP7veeRB1DQtBwYt0zzSYngf6FBqWeH0rF4JadPoSy8O6jpwnv2+zPr/WCKZC2hcMW1Y4MMA
694PR53Y9TKmPvYPZDTyNHll65hwDQSllHMu8D++eR0T/vupyPAdTVZkYeCnA3Ux+DDyc5YbdobT
3ncfiRXUoFKqI4HYV6EruVbTS99/xlMg+Z1a3ocZp6/rRmANbeQtSXI+XrcblzbAGSz8DrGiGvwN
RY+KjryLIQ4d7CIf809NkklEhxHigt78m8d+Hyrrx0acCeIXWEVaIf/QpEq9KTfMOXO+G0EVCCf2
aGF7L+fhbtc8qG5yw2otCCtiGR9KrMUAPgxZXv32BRD9v38Bnha9p++Dshaj8VE3Qfo5hh5lk3xL
orXx+kMruprCHkywIVoO+JvPvJVfz+R/Prym/Lu+R+YBF/Gj7HEWwDEoFrP/7vqKvWu/WD5uJNBx
1Di4uzxMXP+ZOrVti82AcIv/jO/IRBN5yqFhqdOvb+YDPZ1XgaAkLCe9/VDi/YdKV4rvFbU4abxm
eR/UBhZRmV7m4LszoodRwUt347weFrvbwF1xuCuPMH58oOROIt0YVt88RPQPWIbCa3v7vgbkPrz+
+jb16v77OoGciGQTIu1Aj9A7/rgkR0UgZ4p1fp17oM3mxhxLk8EyZ+V4xmZGoN146OxS6EUjlV6u
tBLS8T8dLHB0UPjRuoWeSlPo422Ewh7ojfnta1N5BidTwZ68AnZfTAmy2Ukg67wMUHjKlxr+IOdE
jzOl5R1x9TTwGhEZZ4g+z5aMb8E6q6ZLjY5v699slm8qNe/Hi0FiB9OayuDuPmqxUP9rkI5fnVfq
kr5B20aiXzLeilXmHXhUsQhuzghqqKRUWAXyP2B61sV4UF2XnIaor5CgwDvIXC7rTDQy2TTk1njh
jrjWVPcg71PqdrBJZzZ62ygWq8FqJ9JJWZknSvzO3OCDeAA7FVKbEV1aDgHP95is7/dkZmaDBvbU
PQde6xVe3GmxJrHBzyiK+pjWlcGBhRna2+4JvIt/G992785KIB9uZiUdX+xH5fx+Qbsfd3GbGCpi
IQFUQ5/tH9OihMxaJxmu0l3PKhI7h1DfvbZhaSyXzgDCR+CiNlXrE+yABeO/MUNyL4vZ8JV/nwoc
m459DQAPTP04+Ddh7uuwZ3aRCIpo0nr69bQDZkslxmu4Gd2jb1+uT2vll6rcmFWlj+Kc0ecFtU0E
fAsbRPK7p7DGDikB+FEs/AALmSIW33mDgwtXMOp3V85pTtgk3i4fhahVkFa0M/Yj1NEoPYtNbjQ6
4pGdV5cv8+BTkNjTKrKmB9cBCHzVg5vrsX6pe8ob+CXXCJVTEE6/NmGTuE8TmSOTLAhToqdJNC2B
16/3ho9bOKMfABijMIL8v+dA6XlXd3GSpYF32FXPq4W0mSYFmgF4PtUWbXVyRqHYKH59xY+7EYAA
F1lozm1qTtE/rkjePmSqdtRXZx31ZFSjq7c/ZIjwYtv7k/D8Z1Q4Vyahskc5pNcBGwvz9Ne3oUtX
73ZFJ9CqlRxcHlx0l9j//ZOv2CkKA0+7p9ptagmFpwU48AOzZKGlRdCksOi7BG1+Ow1hyo7TZV6b
7tJQ2ohyofynQDNKO8VmOQn9h9mh/rJsBmX50z19CTOPhbfO7SWTiL5jYboJZDk3gbXPYs9M5iGg
cqKLU1KUUq/8iZrdJzTYg27ZOGXvzNPh10/8cV8LsTiiL66fmqelMvJBTKX0k6xRwH0epxE4TrTz
+t4mNIeJwLxFT8B1jxmNPabtXEZUoyirv8XrEAH1lHbGAj7kQzL7ekrbIl/r/gh60NFbpFgH09qL
auoodq3eoqHuiap1pmChl8LqDCzBMvr1I33QdgYFTWmSY5NdjTcICORDYCscWD9t0diPocyowe0l
qrHcgKQmpJfu2zq2QT5xb2BB9BJnr9RbSt+BTHsxMoD5lxYlcX4F8nkoX6qoCNxjrihCig0s8ta/
ScTMp/LM0Y9IxwIbvtIIIAl1FO6cARBb0/G4v3m0D1Emj4ZKn2tbLBUiduK99/NT0ggPqrFdHp0U
4z303XrB1FqrNW+/STMsbbDMshXrU2A3+nysjdbihcx+jfn8bq19AHV7FK5H9UiU2jMcKtAWrRfO
tLKbNLkRMcVcVIP17jaybR5zu1Nsa5KIhAuCToXuHpM5WgxFnboMBXjvzJCxB9CXJZFFKPPK+Dw+
eissQeD/K12/PZ+5f0+uPqxR5H9RuuH8Qv4EC8p/hLqWWl0fxULj81QHFMn25/DWzsJ5gnsU2hn8
kF9f0f5wHOlLYsxj2lQY+S9R0/thNwtgeFieBZ+H0WKGYIAkmVCc/YwPZkCY0oFCN1ogLxTfFga8
otNEyMKmxyipfq7kbeAPYVLsgXKEbAYsyOm+r1o+NdcGC1/ODQfVz9cGLBinYrAxYcNaYRXp15EC
jmXoEQGw+IFzcTTdm23dcideWXI2UVzU2fevn92NnPd7Ig+vDwE2CWrw1j8zKsLBgYbQvHzOsgXG
40aOpQNVTMF4usFe1u3Rcch6H1grNg1RkW162o3iAsVDZ6aiSrRjXPZpbbjXSQ0wIBaqndNvJvia
o0rALm9LXJKr725Rrf19jeBA/6Ig26hP7mTBN9ziAhx5XSyIH4dxjxtCCJJLZAmNYb8GCX1FQdOK
tg3YdysuMCvsk007h0IL4zQQ8+YYfP3EYpjWXuEYPBvggIs9stajS7FULq6uy+O4MB46gLpWQvyW
0DuTGTCKCun3SmEl3WdMxe4E2RsglECZwd9PESDJLb3fef2sfBh9T6NbpcnWgQtoIZbrona88VM6
ajgegoqOU69KjwH42S3QHQX4IGpM82ApXGj3qTGEmbnrkCVxcaOZ0tJ4jFpERz/P1CfltTHIxrjn
xAjG717v+/3jGuAD3MIObVFzu4vmtdIobGo2e1DqITy+iCzbRru+XwcRvlp1ETbfacViIQ6mQy7i
B+66SplxiYaqVRxl0ggv3JIHeJV/SGqj9G8iKzBKjFb9zh6q7EcGJxEeXzwjTty71xAhJ6Y0HImh
y+5gykjf3DWN23XBaURpIauucNMsIdsVUyoV5AAvSfN8j7ypGr37pLEdcfILN9P8f6DVwMO6aTU5
1qshzFW0SQ3XF/QXkK0rlpNKByPLDyqvOW3iMlIuG+zU5aP3pTVGlKVOTA5lAIF2CFusG/xiC/6I
pBU9+58qKhP8kOdfGnkOE2KDPLDL5WgXu+J1HXGJmS4Kv+9S+2jNBtQIYBteOQYHPAos+paei1yf
gvOCx+Z0leImZzgvc4LhWRQXXhZ56adFdaoLbguM/FSFxY5j2N2pHHHenj75heOB+RZRpKPqoJde
Vj4FaZIY66XrVgMjZSyCLfuaXVtkUDudpA8q+l8C1NQt9W+oDTtVsBGkuzZHA7iP2bL0LS2TUdHm
MtNsycUWUGHR494rTcNrvtip3XC9WhenH5EaESLuyYMZWTscc06Q2PIz/Ue4f0KWDdoUOqZ3UbTU
iUFmNXAoi0zpEXNwYORHi8GQ8dDUgd7yYUakYRBHSrZMgLUh3jhAAq75XHd+1Ex6K8MnCqpDAWfJ
kHC1KrNIMhsr16/HwrHe9v6wqlmPc+NGBRUyYzRwLT0aTRlm7g8hSGjEvs9zIq1YhdZCiyQPM280
NDFjFOOTLJoxbxgvI1vbQwYQxpqvwyLQtwwHpe/WB5+ZxRUc/km8gvTTE8zvMUmdLiAi8bsqqvXQ
TBPynzlHbCgU9zA1A5eNfz5P3zuOeKWMmPE7b+5a/wGMaBJheqwiCkDQYjIIpLufsydZh4g/GRSG
frhELm+DMTJr+vhnjBt5K17YJICDV4K1yHvj4edQG+eP/zXI589RKbDLa6ivNTdgNUY2vZYACfP+
kCODx0MLe525Vmo7aW4+kICn4NW984tq10ky1ci8xz49NVa0YKNsldm0+J+iemwZpcmuKz5iQyvj
rihzJLgal+aig9609mx+iT6OiZv3eQTbjhXEvnZ+pszOydFijGt9ZR2XMdTZuXl+tefp4Sdlxfj4
bs43dnhA6Ief/SVjnqZWry+TuZnPLxcoAkH2CDPWHSX91MzRw3ueSCtgEu6Sh9R/BVrLwPccmsrM
rkFm+tbPAwoeZuX/tJXTusHOAMqCWe0KcgW6VYqsId9WOUCe6SoqUl35GOi8viKra4tXy08bps/g
EbHy8P1EsPtpoEKv/6A96R8op4T8qBpTLwe0IfX9N6MPM+ERnk6V5nvYI/zdTDgWQLpyWAJLXiLJ
qedKXgyRDA4/hzwqpp7bgQVT8kc4AVouXnR5yTk/WSBxzEcityLEQE8g1wrsdUgTLu4VWUvKhM4v
tc2KggElG14TEglBm+rlPHK+8rsSC7Ii3JcEi/Ny4URDNbdHAJwmSOIKNko9bZIBFNzJiqyRz2dS
DPwgaPSqGwDG/O+Ce5r/7EFboFQk6FBUNxPsWYoCqi+4upWl7fTkIw1FFpAsq577wMx8St+zI2x2
mLDPoIHvKsym+chsNEk0nOBN9uv81YRYw36TVm1b4gpzLpIXssr6Yj9mFfnut8UdQGYeuyJjOA7O
25oRLehUXnuiymR9crKwVfIRvGiGB4s8P/ocpQND5HTzWvJEJRJNqOOspsUuR6NaD581w0vsY+pV
eoqf66ehtjwzN9Zo6+eVCBvwo2eC83mRUwo1QHKu1JUj1y6hl1OyWPz62umsnk/4i6Vz2MkbB+bV
uciyWrQGk/3YCAzTT2kiVv7Gei69JaTlVA0FDUrqpQkGuP4zfeGyBS5YUZhAThHaPE8qXZXTWgAJ
LdkqHT9ZOPOGhZ0Ghpjj68Ebc0eXCmwY93QYiqpJ+Xq/VDzlV0V4BgRWJUPf5zeRU+giZTty3F0H
ZeL48s6ljLUkuzkpgHDtfdV51QDRxkBgbhNQBPKf3RQZEbHhMIx4+Xg7rTyV39T62KgRm2XUeru3
mHznkSxkSyXayc3cmS7UCqQ1uCtXMA8PEPEkVYW1Q4rqmf2W+WWobmUEChdrU6ZRB5RC7EkvdZWq
yolXiayjulXdM9aqmbBe3bnyqxvfF92S7HFAGaSBBiy6RcmOE82pvI22thJGHFbopD1RkcR4+zPG
BkWaxom3ONl8rwJiG/E9mvJJ2F8hyVKaOPTA+usoNux1KJ9Wd0Q/ZzNyOgDPlvAZiSlx9IpGCxZ/
VBeRHU/8EijYJlD02+btzyc5v0uBRQrD43mg73mst+2mqia9/0VLqncTon+9ePOh1p9o3qr39PD1
7zBSMvjEgsUqPxKH6kS9I3PXvY28SjqWckq0mNyscrE6bAtVoFdlVOt/+TlliSnZiVBK0v90rofr
7dRIMetbenz9LLs3w9sxAw+H0jhgBl40JuiRfVICDkRGWLbqcuBA94sfgCvZLcRqMr8h/PCCqVvq
O0cXiq/+vJDXRxxpgqliPJwztiYv1gDActON7l153rDKc6FRhIhBuDujEroIOfR+77rbOq1BZmwy
4Y/Gw5h7Hc8sFb3J6SK3Ux3GZe7MNXBb1Lc1vi04BDo4RzaQAvQi72zdPN02atZzMkBopcxBSgxN
Xe+yomI10uzXDQLqwHrTK8Ex8HfdwTKKywx51yD8TeHrQ0JPLUdzxE3axcgEolnxIaHPJD0E6tX2
Q9YirIFwXJrOrAaFZ9mNMFy9ghAO0KtryoW+999kd+9zO315XzdOTHztLK7/IbHtx7k11BBQqjpv
jQU1YO6CPICV9OtLfWjSsJpQFTK5FiUr/tfXaf3fwFwoQAjo2lbz1xwxy7ltY9ElrvsJ6Uk9uyM/
0y91xOWASeL2Lq/s5+b463t5X0LwTJP5A0CNh6f7yTy3399LMjk25dsifdCWJ/5zDn6HLXoYQqgr
cOp/P87/vKCNizgwAqQEKC5+NBSnpWpawNOSezE3HBTopUTyhDgaU+3nyv71A3404uUJqd2ewXs2
MgYfC5lzVbhpIyv//ueOgUGpLtovPpRRbz+7Qzjtiy5Z+7tRQaPZ1iO0hGfX6dkajGF1OY9+c0fv
ZzpjTiqljV4hd6FOTavu/ZgvkWnAAnDEfXVeVIq4jjU+j2XCvo48ds4ryFxgW/Y2cjgcCC2MTN9I
0TliXONJkNnvMStsPXrHbC0o94lO8HHWR2LdADkmn4zVuZ/VnbfZXz/Ex9fIi6ORDWDSoyT7T+M9
zl0h7RkmWTaUemda3wKhbvCa8W4xwtH9jZ3E/+96nsmL1P9BafXDmAXwckBnmuPNz2NvTjX2yERf
x0POcsjT/6i0hvAW6rDAN1kYWMhiC/lhO3AU2jPNlBc352OJIFm/jQBlJmfXDEIfGL8e0A9dKJI9
EBroCtvaslZ7wH0ouDeoC4Gd7KJvyLwQ6JwnoO2XOqjqHUB3x0kBTq9js3Z7GzpzX9ET2FQEbUMs
kXgOHgtlsl385r7OEJF/N/y0SyWABSx77LfWOory7+eradJZgWMwHHqI69mws1EDZDBG07XH9k/M
dWhJx3CYqY5GmzpZyfc20MGlVV9y3gINSuO27KjdXNku1QPztk7AfrXHhdPda2+SOS+teYkTm6bR
1wFRZxKZvrDdRiDRPWI6HCMz4w/1Nuw9imVXzmy1jg/H7q0jV/qkE84nwHKWmK8R+JgioDzj5OcW
VY0CCMmRVCHI6y221x3nxs8QIzD4WrYpz4EBMXbIdu+/bUTnZKF8G02FND2bL8mdPsjVZKMscmyB
/lY3jT0y3ARJ/hjcOEOlwzHjHJ10tDd5b2YXWtB7ykHW1oqiQh81+dbvAnwdN38VLQQHH9o+51Dk
LQaiN6YYXxTM9DEciInaENlB6du7Lmy5ZI26JWc9EvuIGKIWUQ9kRFTkq6J6dAhcI+fGX2TkdqfC
Nw2dzg9TT6UU0pTOpCK1DLCnEMVApuKeGkpAn2BTZDJsEzxY2lSZ9Uag7O7ZtxF8cQCnqYACC1hx
iaa1/UzHQPekiOJQfrlp5UAb4HPeUS9OIQu5AAL2WS8sq4hri7Dxz4XkcQgvPH9W9rPlzYsMbyh8
Jd1dg49LiW5oMxjgVTuW/izjXmZ0w3dNu/BukYOyIZzDLKC2MMUEV5aH3Yi7JOqqhCg5YFZVFSon
H47QEYgRlDSHg2tWUr36Zl0u2TZxCZlRjg2auv/SUDsxRritvm6a/dxNBB3t1L8Ka3beYt9klW+P
xMFvkRKlax3pLUiV8uM8NfAYJJ5D9Lsk6eoRwRhRiepNv7bYi9I24DbsEjVSVRpT9JltuA0fuiYy
qn2deyl2B2mqHrwlh1C05AqikDs5xxx+w6nu5+lILaK9D3p4sMh4ZvBUJTYuwp36zwmT+uimkHQ3
rL7sFSR39SU183Y7R1ZCNlk58kC6SlEI9b7LsDOf25Ll2KjO14xHjR/OMt6uafR72Fzurmjz8dNa
VNLcEVfLXbiYDupf8Lu+Acx8wDO3u+xdI72sp0HuvIEiMlCS9Dhh4r3NIhXe4bAn6Mx3+fd8EMm2
yrp0s7hNs/WSSGBkYtf7JWno4zYdYFciyaWJ3aIJ9oo/eQrJqF77uR0PIBeS7yIq4Q7PFh7bmHl6
+6ww24cO3vW6qSiyDBvDadNHNa/hS2U0Hsn4WH9WoZ3vTADJFy6awTnEFsO5cim07Xs5ND+GIkju
KP/lII6kE323aNaQkViddT/ZRZbvO2xyd2gcyPthcikZsBVsEX8ZLxx0sku0z1QYJ0GUZOGXfLKj
5QSGYPw22G5h7dqxkyQqeZ0t4K298EcoPQDGRmL0F3UEoGDrWrK4myenJNOp20tvkJaIIVK2L2Yx
dHBhEE4ZfEvP0MTTXdB0UhczAem1GZTTifq1cZGXTmZvQ3a/75ZSToP0fGih1wLe8avqhPoBiH2O
7dxaXzD1bG0wAR2wxnUdmLlZBRUazFM/bjtU6eYLf0yhd5tWl98sFmbwC0lRPClHKyMjftpd9LPo
93Y32peexg9Tq33yFFwwSDQ3rsXymYZRbikOwg5K0ToIUMBtHQT8ZHPTZW7/delmoiqTBnU6bDCF
Rfo3DnIcQLC1ddwXesvtxrGr5tCS6m9ss5Z3s9WUd0O2SARWpUwfRbaIL/3c1ZCT53GOE6tHBLrg
/uiZhlTNWHhztsbuHKrbyB6yKka/sHgp6m7d0Kapn5oWwlnXTRY61W546uweuhImbRcuQtEvQ+jP
VwUV+4nGgTtyUQSYktHA3C8dYQiFBiq7SB5GL71BWLINibAQky0GcesrjBjY6DGRi/I1OEqU6G5B
2oDOUFn/aLcNIOtxtg5FN/kvvZM8KjLdR1SlkJ4UnYswo6jTHwsDcshkMI47ArnlQfaRl2x6V9Bz
LVO5MbNpOvkRiG1BJGkhVDFEj1Ejo1cHf9jPRZ+0r3DJ1h8jE3w7Ba197QINOJicFFsxC/lAhGhs
PNVMV0Y/lM8rJO6DU+FmFDcUhG+yBd1pELDsSGaRh1R0vNI/Bv/N3nks161s2fZfqo8IAAkggUZ1
NrahJyWaQ6mDkEQJHkiYhPv6N1LSqSvy1JXivnZFXBNy3BsusXKtOcdktBKroSlOpa/7R9RZgu8/
uRdgl8SxCMTwgc5adxc1WX/mrFV0X9f9dpkORQcomiWXjSys88azx4tee/Ndg434oScE6YsoJxYH
t1unG4+A7QOazvnWEaO+XHo5n+fzImC067A5JUHt7dngovykcRGdb1afXCVJ1r/b3DB7DGl+fOi2
cHzghZ+e8bDJ682xRlRIQX6sosS/YkbtiHiswSqG2wrk1EZNdsTV2t6VNNHv0qVVXYy2wz72c9F9
UKMmxDHxt+2qjzx9idQI7ga8+AfsbBEc1bReDkKW4ZnD1C6e1ObdhlMKPkv31ouVuKjIrlbf2/II
j9xCtbqXmqZ0eFX6YpLjwQbdWo2AKlVyNVsqvaNPUt1Y3to8VWP/iX+DL2DMnaehpoIptCxulqhA
QOkrJ7+IWuV+1Fai57jKcCcj1tGPuTtN3Slzjfstyhx5SdphHx4ju26iizoL1Z5JLHlQExPrfRht
tdwV2xjhFxdJc9NaTOwvV6uTnOvAnscerv3EqMZZegekgtfVt2Ihsk3iJQCpvmDFOGQ4jt8XaT7V
QKzaNbusMRHme6tvMM6BjXWsk5yGYXuPXxOC9cmUHvY+6pa2akvOWgsW66JkV91XsSOpXGK/1sl0
Tb+jGICOOenDLDeY4a1dBVcI7hKgYw4lIkgBPxifMHluYc860qvRh1AKAxFh0Nk0BvLCd8k0Kh42
sSbuhFe+syN94bLY2eehR08fN/fa9PtsGnx9H1lpCSLOTauo3/W4DyoI3kBn7nOB7mXnZl71jvhy
aztBBIW+acvOta9ghi1N7PZ04q9lxXK6R+K27Vt6UxeFO8KydWR5MVrrMhS3FXbaaBOc/sZeavyb
bl0anRWMsfp2HL0ixHoYFAHh2o0eWp6HkAFlrJ0Vv6vnYK28KjPmq/AiadTGG4nbzU7UK6MbqYvy
rMk9HzIYo77rMqfRuS+WfDmDB+fAZgRlJ2lqQVM7L1PstDulfdBW7sz8Ohjd8cbyo0XGdZF4cJu8
UtBMo+v25Cirf5mM11n0+JhObZs44gBi3dVuTAmXWW3MdB0x2byTWfB+tbxWUpjpcCX6lZV05C+0
toUH8guLUBcGh0xV2HDSzlmiQ1lLR2YH5S6t71871hToR8axdXJWdKH3KZ2mj9uWpY9ppj6mkfIh
fHZzfT+jzjgkYWLiJXUHukoHPQMsuV1WgPRuQEPo45T1Uaw6tamdRGipdnXt1/d9A4ug74N1p7Gl
sL5if/kygk49SgKSdiTUJNfMCEM7drDLknnAy8a7i4ZM3EskQP0+n+jWcD9ww+xQtM0vTqvKd+R0
D+FhkDK9GtqmvdfdMKYHjVkqAfKP7XoHbj86r9sCq35DSHpp4MlNaTuHiBSsyzLxrWu3XLxLVzF2
bNOB8XPEtoiEgmT61GipT9tCWsEOSHQFCSSauuGgnKDFEo/771z1hioBqGCJuxISsxcMwIwip8bH
3SJp1OdDwMFBzLKc+y3p85eEyXV3KpiQ7Xseynm3rWV/w1uel38elNU+L6gv+ArJe946+VGTHxLr
RmVPkF6cj/TOliOym+jU2lF9lEoWd1Zh9/FUB9mz3dSPVYGWK2XjdpRuUnwgTmNsdz6M4A/CTsCg
uiKBktAvRRjntDdhfbgcNBbbo5cvU4xkXtwWbEsuptnJv5BbKT+WSeo8l46YryZmr3tfde25oOn7
RPscpzxrGiEWorC76yBJBHUri6O5Cb0voCPooK3Q7nlrL+7wuZ1gKR+qAIbejnZwG5w3fpO38YB3
fWRatLW0++RcOLGoWEd2gZUX/jUxYu7nDMhgucMJ5jS7opJZGJf83JgGFvdEtirIeoF25Z4t/FT1
1FplelGrdvxLsWvL4lIJYX/kxUvObQTNfjqzxjLYE8FlneWd7z6ayf/R2aZS73KSqG99fyk+a3Is
eD2w8zy2OkHP1Ca+uGL41oOsRxZizHduf7XAzvlcuuOSxwONwmmXT9XyZRxXnhUeSvZpWtGHfJmY
O4FALKbp0BQT8P6uSxE95UDFzozw8yshN1NyrGU2XnrkGbCXpRwZ91XSWf7B6mpUu/Y2+U/jUFUf
pJqWuBzEAJ3N6uwbPUvnnvlYGKHroYbbBeOcVaeZouqC1a+ZD0uXgevtlojSEx2G1d4I0gmIH02M
lm6tbeLhegWlZoemhJso9rIa1GA5HdMpYBgCb6soKdL6g9nG4qBfO7jasS/AAj43IGPLWxfwxrBn
V5GAaePmbTcV945Oq/Vk2W7ReLcBXLhwVzpdLj6RgIWpM56scCmSIyOvcoFvlLVBG8XsthdP7aBE
1IOOJS9cf91nTKDAI2r02N66b6Y1qcvLNUxo6cSDZgOm7qoJjwlhGgi1I33stery5zQtMXzvZx4V
BiG4hAQppxOskmA8ptRqzbnOtFV/G7phmfxDhoKpJtqgY1p2D2yS6clJIXUam32/epZd3BValVwH
CHFDrrHnEXDC/GXpOfyvtRVJm/M4FGQqRCpb/GfM9W52/6PdaikzMhgrkPL3sCWTRV1GBG6yE2bi
byYZPIebfEnxoy7BCWX0xvPWOUMEAUeB7st2TYhdxmJnmxRzwCuC5Xh80hkNhfBqpKCEiFNE9urF
Oh10V5425lNcLV55RVtAgtHNVJO3M+q1uRSaw9t2uNpcd4iRrYg6uRejr/IAokKX5eLC1rpbW5RE
+UiNw94h7Y7fTYkuQjuILOiIrl3kWJTuKmLFXKFJDGPonfJR1uuq6KOC6etyvMxYl2fvkDaLl1cH
NaOZiegdNG14tVH6hUT8VkHCHGtKIqV3jtdF3kGum/BOTO7qJxXq6tFCHzMCO8UUt/M0z84BvUj9
YjeQzZmz2EAPD20wRNl+6lGaLLvN7Rgfbpgav+vkLzBlTnc++tYzOrn5FYlhIi5d+FKFA5n7gI0U
udUUMcpVVnVfRMsszztKOGKc4dJ7uwVyfnPqRxsd4hIqeBmIoMsXtdn4oMkMrxMCdENP70exre+H
nLhJCgSrOlCBskNMCuX7pz7wxnqfQB7/bG3JspJfk86d8z4s89Lfz3nTfOlxtoPlKia2Bs1mgfiw
+wKONuVEP5yRxVxOL6m1mI4LFbXbxFuZpUf8Y1MCdEQ7IfIatyPmJ7G9tj14q03U5tDKD9VE6t5A
IIGbtjENxdxnhyrX4QbyjK33ru3r8RnxAsKHXa/QycWoMjpsutpxUQbR3LpJ2XnXO6+jDr9eGJkt
u1mU8iDLoLqw0gECFdJp7BGo41SN+MJd9UBupR8xVLLGDPYRsJ5NLqm1E6jjzjpVwTvUNMw+b0gO
uDeS6J2Gbc1xbnDeHbXcrVzsvRclYXQoUEd8tZAf0TwsVHplsQwPH9lcztk7WdQkbg8okfIzKhji
PQHD5Z9ZIsV6EpNXvG9nkVwjdExf0t7hzIfztiA4S+D/lduWLzuV2/MjGAp9NwOJ5xCw1zHflXXL
aipr7AalH713aB/KPbit+dyhaZHvZ9Qtf83Cw99I3rd3hlMdhuPc+/fEVLXH0W3s56AfnF0kURJm
fbWhsR+2dYeDab3B6+nme1cPE7YsMh1w8+dTNJ2nQY++jMx2BJ1pMmMlJjvViBvYDccKoIp7ZMbD
pNQWGB736SQmll4LxwLYEIC4eidSw2hJm3W4FlrpqxQQT7i3/VRJEBuVepgXOaIbHmG07Jjny49e
n0ESqSnAbzvLVLwDvOdmR0295rsAdCiCkpJclj0v9ALtFO2Su62mA7CDJayCQzkhkdsLu84PW7fw
b1IfQRzCj5oUGEEY6pA1BzcZFgCh/vpBslpMl3DlCE2vuil8P/j9qPk43+/YEOR0gWrYlqJK3Msw
g3qG0CfB+N07SXRpWZn7ea3g1C2WGu5Q2xWkboXuJ3wtumFSIKM1zv2h6MHke4Tj6HktAOn0WLLh
euVhxfrbi+qycAj7PY7B7IM9ytRyQ+eqBKjukc22q1TtfCA5KV13NVKKmxaNiH2Qs7+yKYhcfAld
Yvv1oXaK7KH0l36OeW9S1VGf7zPRd6E5b8Et8ZK0oYXbJjeEhornDp1Eupt09UEMdfvcj3AQsryh
94gmEqlTOnHLV/2HFGJpSm21WLFF5XHdaww6A32Xj02qrfMeqGq17/NSAqgb24vRBxfLjry8oi8A
gDqxwyc6xrnkNkiDz8rFzL549vB+6kHWl0M7unExwaWiWiMPzQf5J3ZyGMKzQWQNzP/IonCq82g5
QaGYqve4ePN9T3Nr33Ore3EnfH2gfHEum7XNUPfNznOWrMtzlIywpAdtY370CfwMq+QbwmB77/ne
+BhS7p8cL3E+t2jIn+FHrP7OWjhxiPaJ3vDC64Ux/UlNI09dqD8hMR7vlLbXBEt9azs8B9tdlFow
KnrHq0+8D/qGbcYg9qFEXsK/vpo7tyehonb24cJGpcPGu4Fcc8gcCCvvvsiEV8ceXf1zpRqHYRZa
SaKRvqya7n9/KBX9oP4zL6iynvZMsfEhPbOjbWv1vvcGIMy3Y5F1rPIDvDLURX2HL5sxP4ERdces
gZFhe+utiGHW0+zitnD3orWXMTu3dVYX2zlS7HV8TPJl9r/4jdeWZ0VLgqtH4Hpvj9Y+nHxv7lm8
SvQoOGNROBRwkwPCD8bO2SgbAdPlcV8Gvb2cAwyni7kL3MU/el4zhx+DphlZVDpVVkvFOuZntr+n
zkNpsCcTIU2RpBDWNiEopoxHF7Xi0eahQYgOhmKdMtV+tTtrNWEKtPUlaj01r2XGzDFPS/Q+KoXg
7JIqUHWMQdIi3ezu3STCkS1MLpag75/acIZcvGeUGrLvw/STL8VNUbQDWWHDHISAUmwl9NB91tCY
nXXHT1H5Gs+tR0m226BPdNNZgtGxMIS21RyJF6Q2gLgsXSbZ/aVJDnP9HYC8kj9DzQ5m8tIaBzbM
lwXEwyqIFygvcjr+fjz3epbM1BCtBNB9M51noIyP8fVsjlZZONro/L/WrTIDjemHGkT4Tc9IeZCZ
pxFvTTb8pjjLC0Z0f/gCrwez5gswUsfmCnaJKeE/4n5zf8VFlObypfzxBeofGo26jEhkOVktc7Ef
k9L/ozn8gXFEz4KZ8P/4Q/6ReYVms+0/vbS/EiB+/Jv/gRy5QI5ESFapMNCEEO7t35AjG/4R5kLm
zlxK1J7MeP+VeIUoh4CsgLkRuo1fIUewIWAKRIhHEGlJx47+E8rRd4PVL3NmstjDULLdwFgKPYJZ
+Ot72YaEZqP/ti55OXZFdAQjEa76uZ8ir+kvCruW9PNLgLlZcQL9SHLilYiqmulkjRdcEp/QrqDo
L0yZVorrxmJjRtuHki+1ST8IiYwbTrosxiU5lWHu5/mVn84T5cnG7yb6DPUhn/VIdT5Dzd6lutZL
duVMINg3+tChtHZZaIEMnOB61RcY0QVzAzFX+cobOJnsD27TG59kMNI6u8f1hff4EHrpLN+BX9NZ
dJvnIxSdyGNWV4fMkmNfN4xzKt1jM9vJlQAFzBFtF6r/e2pI/cnH9Q9PDZIftCL//qkhMBjb2q/P
zI9/8fcz40bwT1zsmCie0GyZCJMfz4zBn+Ba4qZ3fRcNbIDM6xf8CYY75CoUz0ShG0cxMocx++//
8g0ZhZQp3IbcHrYrvP/kkXkTe/KDgOL46FNwwXkonfigX6VkvE/WukaI8TWzNxIqiB1NBBDSGbgG
La2xcNenAs31eBxWUVGzDWievixJpXAGtNxm7lFZZs+IIg19IEbsxGZbE1Zltjz2NhkqZHd6KtgC
3my0Ni1orxODaDpkmp0xDUM9uLfE5Sk2i6mtrPkxGzUtGgQOKXZgj+04TYVN2354EkNKs2u30FXj
RVXN8J+TYzMxA83jdcgSbMm/XMj/xR73RvqFfRallYv6lP/6cAjenp2WqSrihM3/ioh9injiUkkB
T1EtRHkdpRSaDOqBY9bfuoD4pAesdsbx7TLR4XhAy6TL4++/kmt0Sv9a4/hKUkYEo6P6+s5EeKvy
kYW74FPr0xfonuiLlUcNQ24a3eP8lFlBzsyJZS5zIBlndBzYYZJoztTGVrgHGeYYJ6bUvlUQ4D6B
7D1sSbrp/VYtXIrDOG4Z4cF9YLjNwVbCo9k24sSyAyvk4HdMSwa6un+QLpka45djgriB3NtjMbbh
JwQ8C69vQtJLltwqq+arPVPQ3dNUtdr3pHq1293vz94b4SQfRLyPh07Kp9YhxvuNCGwljjPagiV5
waPosrKqKimJg3BtnvAFKKt3Ow+tocusgV/hvFSIGaf3SMQwdP7+m7yuepChfc8ZEkZrglEaLdzr
Q3ZEutrRUgQv0xD2wY1PZCA1bg/US4qLlLg1/09Yk7efSN/QsyMHuT0+Xm7pN8feBF0z5+6YfSiJ
66sviI0Z60e3nOkAu8P4B4Xq2ytqlIlSOMbtabKU/DdXlJIzzTM1DB8no9F+8gvZh9uuKNTK/ub3
ZxLk06u7h58egsEJbegXAExRv70+lem8ABloJvexGUY73CfaCXDmpoXIUehDh9f4PrmVav5PWqvx
gi++iJ6KYvTBHKslrEiHrV1hngyFhgHigLN53vRg56nlP4NESdcvWVvQL0QrgOEFeOJoeK3nUxjo
SMVE4vK3J8sRHJyF3s47S1NSLLodb/6Uy0oUIgko5+z187U6Nq2dete/PwlvzjfnADGsQKgPNwcG
0dtz4COWi5ggLI+6xlxGI69NjWfZmlvADr//KGGqqF+eVnNN8f0ELGXsa0L0m6/P99yqoVPseh9C
r/3+WdpXwU05kfo27rC5yFbsf9zVFa8/zkKzNAve8Z+/6hE24LWgI8DJ9T0ZEjRTwDHHgOjW7HPm
c6tEtLxdDYmCO7UDZVfOp5XNFQ8sMJzEf84R4I7TMU88o0ZrfhBLrKpwg2K/QcLjz8irMhd88ws+
xVKa9U6yyeWDYQVK3m2W2UYGZAB+N0jJqTPXfexzBIqHAVgu31t/v3cLJNhmP5yMxmy/OvW8tn9A
t4SvL5/ZAlEi2KiL0Y6jiX17+TqOYAptEGC0/+UzmmmfthjemLOgDJVHmF9Gp58AdYYFWBP2ykua
s9otq6cJRxqtTZrip2hIBcOhFZBmgNHoMRGLGO6qZSBIJAsn9yyPind1I+0vk/IGtcOol60x48fg
dvKT9jKz8+EaV1q2kT6VTeXeImrvrw0c/HSRIHDAf0zWtbdPhF8+UWQTiDJW5EPHAFnuvGBsyqNX
WeJaEpjCZGrtDg5SrKdsAGRILiZ47EKNmGJbuNtFPDrVR0u2/uVKFzVnTtLZDm6iXj647LU/qax1
fJMWmZ17TjoMBI41DXN9oZ9yIdi6h7ZFPpS1+upDqaPhpbIU41xvGL5WLoU4NFBkeI63gm4eh2CJ
lznKrR0ojOkC29NhnNEp7NgHFH9pZP3U9gnpT+Pctw/kCrR7gUiJUYVlefiX7HfeuNqf0bkPHx25
eY8Zhog4gwRwWcqB2NF8zX8EDf5b9NbrxZobgpqPxcw39nzMtG9fVC0kb9n5afPC9VoQJ2GBPwQV
hFAumx38oaZ4/UD/+DBJCSpYPmTER75+oJPNa9j5R81LYMuat+9iPzgNLWnG3+X1xBYli5e0rd/p
AvXKH0qsf9z53w+Tt6DjGdbV2wpL+0PUll5fv3QNUCQssQroVC0YQv/hNfH9J/1r2fp+lEQLSvah
7EL/SbZakE649DMz9G8tz4xweV3s2h7O3h74NfEObp28z4mWUNgroU7tBX7o6kQ/JADaPlJQUQYH
txhoIqSinXzkfTsQ26qr8amu6R+5Y1OrnTs63jt7KppvtRbhFcEB8t3kru5fUQEDfQc4zFYYzdJb
UUfcx5asA+Rg5VwdnDnyz+w+Wl8Kg3cu0OgfndS3P9FsE/HG9bv4/Ur+przllJgygExrzgvAKPdt
SeBYclhI89peCAPi5DMuy06iLaqzZVs+MTWhrQvEYq/dFF9W11sB8W2r/yfjjG9e0K+ujCHWYOGn
zKYkA5Hw+v5zSrA8fpoxNdQY77F+9iXdUl9GewIKNuzDHtge4pNJSMwtVQM2aOuzNl+i6wnlA+MG
mVqkZaXeGSMrkrZ6Mtxrxp2McErrOl8bebUyPWmYnD44m6pusbijowrgaqzxBgjkeqaTl8RSRfI9
FLGpPdJq/4awJr8RUuWn0u79szxt1W1Nou64b5NB07TPNDt9t3xnNUbYGyzOfBTuCORX9DkipCrK
ijjrbA4gW5CSYxhOsbcVHfkSknfivedb4VWerd5fjnGDQaWg9f6H296cu7fnFk8AUKBAsAN1zfP3
i1VI23jNXBjvLx1SnxumSMWTysVKAl7X2DfO3LAu/+Guogn09iOpDWBO0fShuH3bhUGkVPWAaYqv
hHl5F5sFvwZZ5GpdRmorjjPCalZ6P+1fMChVT3m6jFd5HtnvUDqL4++/y3dXx+vDN93NEAOCK9nj
vi2z+7n2oQs1zdd08WQVB0mbfGz7DQELfkwfFTNYtp2uW7opo+9k677IAv8sY6O5B0kMfxYWT53t
iaWVz4iopypGXrEcGmvIrssgH846IZabgICV89SXKSFjMgJCO6yOy8xK2TWEYydsY/zOvjpZnJaj
wRFd0ysj8pa2jnUVIFm9W5eZ11mBeveYzry949bJmX4gb6SiFDVI6KqrEPgSd7EemAJWT2At1gO1
yHCPjaY5J6NCoEKTuIC5Ewtni4EHMk+K8oYct6JtQc8vY8KAqKrSmDmqup5VREhFm6uAHWvI7P+c
Bi2Nevzt7l8ozvNndAHjN48EznI3TAXz4d9fnddrP3sguoghLzrT+GNdfstLspyUCgA/zJdKdz3l
X7cqU7RORFFjOv/9Z71+Dsx+ixvRg87HFjwUVFuvnwOXAAuo+r77slBO5N5Xd0WFQ+rF98owbTuz
6avWQINt+v0H//Mg2dUG5j8udgcK5tcfDAMC00ZRDl/o3muzB5IV0JrEtXKq5d9/lPO6ajAHCdLI
JQ7dxyHxz10AV9kpMZjUL9Rcfi2p+JLmsUJU2GHKho2Rqtsl2hK7vmrzvjGwgCkD1VYMUlHaknKS
LAlCXuLH3xUFfj8vzgikqq7KKe3JiNKzB0rs7Pdf+h8Xhlc/sWZ0btm9Od871L8uUNSIoQsUrfnS
rPQ8GVhaUQmLzVmp21nnAzYTsLVboD2//1znnxcGKl7gImN0qLGAJ76+MInl2Ivqfesz9jjH3eKI
ObtGVxAqHIaxIyrEbmds3Ev5CQE8Yt8947Se7R6QGnd6yCEYsN0DlbSNsIAd2s2iCeB9+fXqsaX5
/bfluXi1qnrS0B39748J78nQebtFoM+s+lr37ecsZGPAxiVcx+2O0tZsrLfVTteJLYACfAToJOdp
GhrGZxYSs3VlSxOVHrtYbsC6+BYMttn6/Nw+TY7XFt9+tITwudDvIJkiJXskjZh+os2TZl9HhPnA
1THQVzZPjXAmrkhWJ6ZpxGKYmd3bCmTpHbPncfmwrTz3AWKtLeFcuEVhdsP2lhtuget1Ps93lyEd
u1Mk/dZfg1kTc7jDbT1sdzz+kf/c5A23Zg99jC2eo4qoQVKDhuOZca8qmoMOFra22ygkW+/eoLuG
gt+BdYE4jVOSZUHLNXOzBZ0acuUsJwW9QBRj9nIhP0MAhCgKNCcrI2KMID83fYGTG7dOjmu5Dk7+
tGTjuxHxBO21tVsMjmvATMvaW6QRH/23X19AYgLwnK5shQXax+4DWSKIdOgMdPl15TUh01NnWJrL
jFGkvtCIRLmXFgSpnLp8yiGghVDe2bsD1DVdPCy+Lk+bCruR4rL1GgWF4OcB+MX4HdIpMQIWe5uh
ByfUt9kJXw5LahaxnziIbkgMYTOXamXTNRiUzd8/o1MduVsixzKSxdxyLeIMkW2+2fjSOuGjF5Wx
bV5FyzEBSDRn1SvLmTPnh0rzF+Z5zMqLpuo1TRUnw5ZaH4Rlko5XlZhNs1plx+Gx0JvbpY1G+mgC
/AI3TUH+av2+Gf1WouMQwtwuiHVdnqkJUxd3TQrdgmsmFpsfyKuJxN/jmI5lKC4sb8nXL129TJzD
dpkKPh8MIRTv+7DC/UkbQGr6OoS8NpMBO2yN6SYXziL4szWgf81BFJEKoLvAY2lAAOEP4BtLcPh8
u34T3+mjRILzTXrReRxaGopOTBcRchl+SkuSLI8Cm6KQXxE+IHl3IaEb+UorR89vzrow38WLmNEH
ccBee/2yhh1u7b0AcuGdMQYySGuikUPTSWYAVOY3g5mVPufa4xdxJFYzjS+8yJzjDiF48U0vs6Hv
baE091xFUxpY/rjAs0IOGJhb1DT7pwcVNvxv54QVD7As2Aff0MzeaKOAu+A5X/t1M4tHVtIaLjph
GHYZpC1+aI+llSvhD3SyUc4oR0wPpB3SODyQpqCG9YwU8aGor40Yix/Y9UPP99vSwTTEiCrPzVyd
HCv4sjTYUJTsC/sBSnpusolCD052jEsuK7YjBsMjkUWpEseRvCIi0Li3qwwpkK22O39FCO/GNInY
Ph6I80CAT6GA+PYm8P2JMJ3MHivyyQKMK/kt/C6Si3dMD8wVbnLgtw7jejlM1nk+2GbOtvTd2A70
VIbBmlFRD5LvmFiEbXzpvDBvfcI8oQBhBkLXkLb3UU0qHl6HoY2WMA7IKGCvxkLMcnMYRVogdEmV
bqPob44FUNsxO0tEoTGp7sKSLhUx8LNvAU9gsV05ZjwA5Ubl3WdLlqVXBHJrR96MSzSYmyfHf8md
OM4r5SKQNHNf2gBRuYcSkaPVvmy3duPPOnfSgEo2H1fm09A1ppVGNLlD0bjYlqO7G7QJhOQei6bT
XCUaIqa91QKd4WdF5NhykrTJi2LVyYHdTEd7VDN/k6GK6XaNfWLWpdKe6uVdNNIyxQHn6ZTlSXlL
wPkbMxShNxNnkWfBcceBG2rqekGPjKtvUJ+kRXOnhxXJEekljEjNR3sOZlOCrAB8865flWkZovpQ
PHmE/pmX7Dhqg7NcAj9vLV7K/cr6sIaZ5d0u9gpVDJ1zTaNVdWPDIYVt3/Z4yF1TYuGOL9cvddgx
H/k5GWHVNycHo7xoodYi7etA52fFLKxzUIsbfhAyetJ9l8xNcvDwqXX3P7CLecvLn5p7pWuojuS2
WZylFvoeD3ahNxr8Z2GuzRn8eVvX+Wz+bPVQLriQ8RfTymcbYZb7AcnO9uRY3JUEe8o+6ucdlWhq
83xaaW4azGHiS3RBeHHUjZuz7O6HCJEKRfzmrJBcmrnq7+16qR5eIQLJ4JnKY9BOWn35JycQP1ne
fcxZc4lV+TeIQERS5LSh9BzbSyV8krl3f8YFVrxWcVWMkxN3XKM/4AI9uVakbaqeNvyHV9DAovPK
hbieyl0TOHz/nh0Y0REggj5xN5r2y3eCYDCygbcxIx5/pQimhYvZKJfBKC8G4qbD3f/CEkR4Ko0x
R7o4MH9DFIQG4zTjbiQYLo8zOqDW3Q+6IIqfvmhPtpKr6g7/hAx6ljdsT2PDXU1fIvgXarDCbtSr
EzLNdFt29iRVsI/+f7iDhS80wTVStXJnAF2jffoP6INtWGqXeYcPGA3JtBiFld70LgdT3P2svgnw
hqr7fk5puxhwcW5eqAQ31sp/nOm/Km+vkrlH+NzaNi2Msx8U6CGxZx4YODim1iQWoaCC6qHumtdK
xELCw92FpnzseYHzOGT4T1gaat82FWZurcTHHIu1mmmacGBqDi+3LjWIWaJmJl49Puoz3jL0eVKX
9EQp+ZlH7bemTsH2Z3YOko0w33b9AavWXZ0Hz34zwJ874VKSZXSCzsX0U+nOZ5n0h4HKPiwB8ron
z/WpgmlXmCqatFzFWlaEhHLMJoCdMIw9Yk3fPmDpCDZxBrAKyvRZ4zKiss5rXdscKHVJyAQc225v
FsSa3jSuZXgjlCbzGjFROKKBNW9OyHhmONHTBuOztdxkCznO8w0KHbXmwg8z6FSWmQGOPd9/gOrH
ilLS1uCvuIUT8Y2aRA1O/4lmrqlXf2C93VH3weeZDlN7DNxCNldpW0y8FkelTC3VKGlKliwiDywi
1qcJRuebtgZy1/c4IOlv7ngfMsncSZWQRr+L6IZx+lnDDdCg/T6ADmCM85b6+QbznJbzWGLAY0UL
otl8e0ckBkqvUq+I2tOa42v6VmmLE8syU5hvoEFScvv8fSa2Dk7njuHdRkUqm4yf2NajcXWWTrMa
G4UFziePc5s64L1fLwyGKuSoJbACcxl5YTrOE9s/PT6EhBZyxKJoDMIXkbJEBNuk5TRndxu+iiT6
MJXSxxGH5DqtZ4YOfjA9bJKhW7ajZ2jG4X2vJ4Z+ym5MUWGPhaHrz+5qNvIhTqngmSFi4CxxPmPU
GPde6VKlpCAWeF1OreppItoqHabwbhszt82vggS3a3+2bp55DgReCA51KikyH6rBM48IKAszgid3
hb+QTIgrPzErY2ucd465wUQCdNI9da7ESrmHd2Terrh+U16aqMwpVGMhFFVgINDsG5OjuR+JeCio
rG3OQPEt2WTDL/h987epSpCkzlUoeV06Gd8L2V8mTWlY4vo2xbxQ5tv+eDzKET3tQ6XnlovaD/Cy
augaYko/IsdN8/6MzATIPHHdcS+Y5hk1QXHEZWTu3apxo+a6np10Gsm2GRiTXvAD8BzvGcmuXFtt
TTWf1WzYkh7s76k8BWNAXq/R1LLlS2WU95+mHjhbTVKaViOLyzp7mPdnZywb3Lgu91kNy54zWyif
HZuNF5QLMni0I+m8a64zfpwNGP7ssn+C6rDCbV7wfJSfpsxZOCnJj8pnSO3JTAfbkKBLtLpQ79bD
zx1xuDUEwh2XNLXZfTUpJAR8R+xZcBtZWOu/iEl3251tTbYdi0xlbEewG8L7OgsDlKMPwVYJ4JvW
7HD+rSwym27696YK6xfHbPKZ0ZhCPlUt90cyJClXbayRmMBuCK0tivN+ImX3yGi+hWBMEcIasDkd
e97zTqpmHsz+gdsp8Pl4xAbJZpZKxZr8/9g7k+24kTTpvkqf3iMP5mHRGyAQI6cgKU4bHJKSMM9w
OICn/y8kZbXErFb+ua9dDZIYRAAOd/vMrtn7xrGw9IYkTrj197BtEo4qgA3n9++PXjUCGQShoJQe
qA/AqhBWN8MI0oEbAzgEH1OJjHW6Dw/fldW1ak5T1XJBEIATVnxl4EJKkps84osh4+bStnOTzess
s3gHOX0SZ3tyFoAOBN+LvdvrnCl4sSkmUGFq20eWTrvIa/4Zzxw61qqsrdadqF7prOKB/H5qnHIa
V5NDm40aixQbfmGTrZKsziF29PUU+P1gUUTL+qFrUIFzHPCUzUxABnfhxGsSC+BG55CkcvfLpKI8
NKTacP3oopp4E4ZTIqJhCJWpMmH8NYgj/MFl5o6CJbouWANfI6WHE6jJ9FsSsF/wKiUGkGqjntYT
+vx95fCmft3ollq+3pW/V43+jWbkogl6BhYzJoofBVb6frEte4V8m6JhPWeOiVIk1obEeFtA4WQe
xVf6+x/5UVVDpsImbpmrnAf156POOsNJcWEXD28WkENW+O+3RuEqq7L7T38UjCVGloa7MtyNj2x6
4OTNMqJOvBHKXden2jYZ3ZwmFmvWrt//rG9q4P8OElb5jRCKZlgMUoAv/2VOSc6deQC++rfJKAUH
GazvOneiNZgJj2HCGJF34ULmLH8VlWn1iCjYyd0iaAadczcqxOq18jjyrmvP95X5hxurwoGwbpEc
q+ed4Nit5L/9/uP/5VthqLtO2BgpcxzXP0LXpy4qB4YNtBilGnUJIS+o9VjIy5Uj1O9/1F/uOQNh
mLZRG0CZDvHtg97NNiqFl283r17iGmLeRzMZmwc6UNZHxI5i+be33EdTl8YX46z9SPxMhpgfS9w6
mKpujH7/CvZ4XaOGKUVFFNBweUHo3vrOijzY4WwmZv47BgFH7a5Z7Wi8//3v/vEy4+OE/YdIqxLK
0v7SliCrYSIkGxsvaBKcm+cEv8+7y3CdFfD3P+njVdaxifDbYqbhpyGOfRCvczaG9DVk2ouArJVf
Dk2xHs2p7jR4ySf6umv8/Q/8YLJydOzbyM5M6KlNYNO0/uo/zRGHzF1YTObupSNExB0Ek2Rd5lgU
13qXqMM+ozFAjufEC5zcwjIV/v4DfAsi/PwEstVai2ywHjn4vC1D//UTgJanwbNxqpc2waVShXjA
lzxE9Ui8jJDoum0Zu2TdGtumua7fP0RxxRpWyavEocJ7QX6/OD8akJD+Z57iGpI/p4Xle0cAiNra
Je9nDCSt/VTLAa6uWan1ZTnOoh7rTRKpPPh4CPBIZZvBEYhHGt0EEj9AjkQXAqLEa3eAzdpS9FlD
ceLH9GO/bruUTnc4xfT0N/OdAZpmbwMic33FN01HajNwvgv0PVt7Vk04UOumCdbDtx2frq2b5Sgj
pIRq08drkYEbZx3KpD7S24DIUuXIsr+//H+54VbqlrqWODIA/+utLThZJIq6zM910hrsWWNqFDhw
eMuw7gB+SNa//5HrSvHLF85SS3SYGQ3xGeJOH+5xBmXzmgeXz5C1Vo1RpJ6dX2IG1HPlSu2/FTmY
hYdLaztpUHYRYakW5tP8/mP81SVBI67HiIpBEdUuf3mLGjqdBfRF5F9IMagO8DMve0NTnekGYLDM
b+B8XnqxQhuUt3mkCx736NiUf/cx/s1YHQYs5j4D56rJk/jr/c9coi/7xSm+RKVN1+S3sbG9QHG+
SAuC4CrJg3swymI725TeNpTYPiduNzZMsxft/m+uya9TO5wj6zR13clhcGCy+dGxu5RCjjV5qy+x
o9p3ra31t3qhKBuHbdQJ9464EkU7HBuzKg/FZGiXA/3lbGiLYbpJwR9gSK4ghKfAnL7inG8t323T
/O/Ig7/eQeuntJkuWwz48Ezz8vtwyUbK8kqvNcUX9pht/InH1eoD3tuQPHp1vNJtil982S9A4tzO
qr8mC8Asf4n0Ru4Mp+4fLK+IL1RH5p/0jrQ2YBVK42m/LrjcceYEAG6UH9ua/6ST7ufmy//89+vn
Mq02aY+V8n34OTWBBXzt/vy/gxaXaU8Gokv/zV/6kbVwySCtTyrHclYNlrAf4STP+gPX/OpXdfgf
/4wlqX+wbNAcoFPXhCqz/vAfGQvDXmvZscXwB9jrwdv9JxkL/Ay/rGQWSXdHZ92wKFPCvm19vA87
zeb83sbJcbHUCeJ2Ea+2JZrA9dlnADo+q3HpgNOx6tu0maurRXorDL5UtaDyRBZqTqreZQMdeGGn
T/l14g4ZgAylyghjd7vJg3MwMBv1aTds2o3lTi4nm8hbac25dJhwWslp5Ex9ocag/fyamT5T7vwG
3d3dlSDvdpETOTszL8whoF8m2vQit7+9VQ85G+JL0c/RZgEGp0BYYlDvQ7TTTw5A/Zec5SjfTE7E
KS0RI3gYfaDiAQZM3ZomL1AIAgehvuX5Ur/CP3Uvl9yAtNJN7hDyB+JQjvZE2zdVABKBKYaI4IEr
pIxaPWhzZO7zTlfeZd21XzFjedeoOO6hjsoOU48etRStN9oNbnOxG5BQbuHZy2OWY5bwZ6CrZWBk
+hcggCqtIhmvWAZDkEkYSlzFCCCnvlmU98qOV29eU+tXACuqA70fT6M3tbeZpH8jxz77ibH2cEfp
+1RyCF66N6Zt8VNHo4tH7SArim3HMDlRAcA4uNWhUHOHbm3KJw6J5eVOQCdQ99ri8xGBbspHjAkg
AkVVvBXoR3tvIWKjmWn6vqiCFZ0NqrLE1hHlH5hetCynJirGoLKcfutMnI03nZ3OjIVmoXd8n3H+
5KUeQTSukuBfK5V+q/fEwsHzRUGHj4JfFBgYUl4k6PSwlH0GbGI3tVFxT1938phTwJFziG4MHfAV
xIXStjINDKEFBynRDVL5KffeoWUhvBSmt/QITCo1M7MG9CWhU4Ig/az2geyrZFMslDNw6p/k1zTT
SZA2k1GldJ33y46qgeomtbG6me3sXMRdvWzQX4QPAaG8bAYlu9AVQ5vx1UtT8Wtzhjpl1U38EDmL
bvueiM23FsNU4+eNBWSk6PhTeK32S7PEDhw7KKK1W6EtlJZ3jqM5oeFECZukHINkHqkosa5SCCbv
lWPkB7WDmCUzzPm41sW8M6tkOi3LQAtZxsCa5qAselJKO1aOUcupKfQqR/vcSrUXzB6luB0ZRUQM
iHLtefCKqApipm1njUaClw7mL4Q4qb3mHTzoYJwHmBoSC9DeNHLZ+53r1dSCzeASSmMy6TPhzOCL
SDMeDLSmU6sm5puwW2hCmslNG1DrUOybuHJfMjYjlxgGZ/WAEuXdA/9B9Jsh+YG2SNZAPVpjvXWT
qnzFXel96lLzTVFls7GbzrjUhD1/sZpuBj4PeL9a2VjVUxZjsw+KLhscvqyqex4cE01ndrKGnHcN
slEZRYlXzvIuEh3qEezKs9azYfHblOe5U2EeUExrhi5sM961ju0vI/QMYDjpxkw8ES5yaI95rUFb
U3snWIwkc7kOZrarAdFkPrNDJ1C8Rt0xW05v9VGxdnUK4nyjeENkhqbTEZPMEy9cTBbTUVebOUCU
Ssl0cg46xICxr3Jz5WF4tTHcdkC7uLBOmT3madYStNQGQ7KYReIQxVPlksem+GBkgtPtTcXF06d6
gI0sde6vTcba7zU8TlAmWjbezO2ssLgsCbU9Sgb3zSMoslXcpH2x5QxFk/P9M+xS7dLo06jEZ97T
WmhYTMYCD07RdTJ7EdQpvSk3diKjQ6IrkqZqtbkDZN7Qc+rJExbjNCiLnPR95RzNZsZBWlXF2cNL
v8HxHx2ynGWz1sx2B5TiPq4ssetXmlfK8X/04VHBEFFyMKloknbYqtPyGUPDRL+BZrebGuQpMMFk
1P1CdTMGqloxipNZtHbFBLKTTfq4KHFR7WfHBDj25MLRBUZLF7Q2DE9CzKDpsIopvu5l1A1lMtqC
k+puqcZTb+HXxQASYS04tLYexlg+WMBcb1tyt7dCo/OVWXMWPcjOrp4MpSOjVjmVPCZznD+4WKhY
pCSPlUsZ7A1j7/LGc1SI8lTlBEOam1deXPZBPS5Qf60OyqXG2y6Yyjm9EjrMpNYFwbuBR1FewRHi
49q5skW9SbgwpAR41D3d9LWuty9ajY+/TIN+aVlAoKBKDdGdSR7rkKW5vAdN4bZ+MkbJF4Nw7TWc
QFHSfdjWFzMIhyuIis0dM2fnEPOLvzNiXZjqdNZuGlqxnQgDv+Qmve8Bo4xlHzMv2WbmrPuTNogQ
0U+EyOesRwLq6kkfFueQpEkdlDK7acnz+lYLzixCaTVZZPPoVi7RobYz/RLaLeybajHp1HJFfRMv
Dl1eXM97ZmkavTsLXE1TcVBIO+U6z8fRCHVdWufCW5LP1Oal+3RSJFjwFgscd/owH+fFmc963smd
N3veYdRE/wAftLwZNWxMPE8EoSvBkN0AE4DYLuMxxXc2Y9fIKlIgwvDaszSApgD9MYAceI4W4vdQ
wfIV5rUgJHW5ON506Hkxpn6jy6vKc9/VOvXetR6kCGYTq8X2UiQvqozyQ18rDZ7tRHEBkrHUcPsl
vKTNwrACQmDONh2z/Cby2II0tIVu8kGzn5mquNc6zLZwwHld+cBmdERwKa2F+Y2u13fV7D2hUMWs
2ImbNKe2xxrBKISyw2AspfeckqC+I6fYtzfgbrD4knVrqZRBrqaJJdNa9QKDR8p7zNMqFfDYkKRN
wIufK1/ry3zXtfFmQrWct0ZiO9vGs50ADdmOgiyW50VjInFCv+7LPaTD5MlChEtfOYtUVYB4rFph
J5cutpm3TMBILzUNsvewq5G1VXHkltW7/OiMla30r220PLPtnR7zXKnes3HSH7xBOPdaGzfHtk3v
Wwg7YWm05cEBihY4YiwDXEO3drE8swBi7k1es8F+dqjsezPqlbRjdhYYUUs8O56S7W3HLW5arQil
WSoXfDk6hUNNfqjyof1qLNa4uoPanHB7a7ipTzd7scfRNpxxEKB1CGEmpOo6uIT3hOW6sFz05Zws
7Hf8oZYU/n0/Jv/n9PR3pycTIfx3p6frvHhN6vKXoDq+1/Uv/Tg9eeYfJtIOSSADsRudD43vX3QH
gxORjQP1W0yNs/+/jlGGs/4/39qNvx25/jxCGZyuLE48Nj9k/XvuPzpCWb+qH4iqyO+c4Nbos64Z
NCv8qn50Y+5Wk621RxMK2YYB+nZIxmEL7cw9W0mV1AcLjg43Y4+FMcw7Wygkya3sc4F0jG9hAve6
VEFZemm0owvP6O5pnSpObuyl2c1gV93L2KXOs7XY1THR4uI0EALceErebYBUp+VRnyIMNnilGHtl
1UWGfbJ+roDLXCIKNsuunLVdLJcRsyHNkNtylB1TZZo03D0kVQA/QzvbT6OchMuQyHI2dB8nFxmG
QTM0vj39eODc9HVcFwXxbX3A1JTHW/BDuX0xsF0n1orEpYKxwxqYTBzCgLbKqyIh5+9s3bZYGnxq
Pb9uMvWdEzjVnJnRHuOf0U0haQIMmseKVhmm561OMsSi58ApgTnpLAbSjwquJwi/GXkHwrjlqXIj
RoblmDsjTX2XsujlEuZJasFayqveWki5Y0vIA6zJK3/C/gajYDEFTDF9p1Qk7tKa2sbKGnMJcpui
TZiKEM8SpBb8H/WSfcbvP/dWzjSTUi12OHVqYsSkCW4H3zTqrsj+KAeVAqgbFWqaj1PJ8Jltd34G
ieuQMFvaQQbX7zBuiNQ3ehWhVqvkmeZTa2t7zfyKJzUPZSGKYF6B/ikr3XZ0y/yiU1JjR2Vleajr
QezyamxBDVW17bODFgcXlpPD4G9blhWGDzuJry2G1kzSigmaUJxvoMQbfkYl4L5fvOjclbJ8hEQw
cDiJCteHfNdcF5n9iTLS+GzEbX8jk9E5k3MbnxMAehtO5NGxA7R45n6ot/NYpw9FP0U3hV7Pj4T4
Ae9IIeBVwkTdwDV1rjwvjx5gfBn7KbGVa2WKeD2yU/W2o9MZFxH+1p2SKemyoZwrnx+a1rV8B4TQ
J5S66g4yfY5WEEEeouquNXAsAJ2bgnpelkPV6TZnrKEvQ7bjw0GCpNox+YofDAbPJ29xEmh/jSXv
GTf1s+82XZTRdNoVXzVchbRBOgtHuxhtNMQAAYWfwqYb+t6dQyet+6x1Nn0mTMM3jcm5AGCHRxIn
RcGsHn/FtYhj/cQbr94T4weils1814IMxZlOheoBi0G1YxLcvEk9edRazlRD4bpHvukynBsSC3Pf
oDAAWDpHSKTHih6r+1gzlidhLGW5xYyiv2d1p54UakfAibaGc6SM2ttSPvxl9Npor1lqGyYYNPkG
neyOgIJ4wlZbPM54Nh8NOaRUjrVu/tgqFRYZtkZ7WxnIzTiaHnqOHLZEak40vGN7IK67Q5pn7+hV
1lFOvUdeGVkC/DRtDmydidYs1kLTr4Wz9AbL6bSC4CbqEGPobaMW07yLnkOz4aD0G1Np57Am0R5g
QErW64Km6hQJCEU1aKxeHiHr0so3W/qD6SjG9aB0n9Klu8twO32erJpdPBxglUoCaThWoJPIune6
zDyVbGgvGGqQC876aANq/wDwwbmcZdfyaIj+julIsbE6tX63BfDKRi71jRF5yxslxB2TIKWYOMTK
5gT6yoS+bFqB3RZstWXZMoxZvPiSGIZ4HiyF5jtCSFFeqlAfNbJK2QTcN23iV3ht6ZdCUp7Rj+2F
LiIZMkieIG4L40lPonSPv1x3/UnK+UKfGgghuc05ehh0cpu5mZBpaydl29VrfhfIZn3Os54DfjNo
mOJxFlyNfUrWrojW4HTCXnva68kw3daS1AYsYWnc4VV330gpK3iMUqEblNxJL4QdP9+aSuRe1GNl
vQqrq0+eTUSZHeDanCFUY7qJNQYlCEBJ7+vSVC/RpbV7GOD9lRN7AiyY4OjJmBnGb880qi7pasIl
r7kXZFAAM6d9zi1qAchWp/eWd96tJu35gO2tD/hH4yDOItod8wanVmtOF8qg4xF3G/edykXra62Y
n1EA9QvNwZkRrKWD4OIz7NmZwkOuYJScEvfSM/L8IlE5S0Bzf09UCCv4c2ofy8anWu3u2Heqgat1
oDMjgrhMUpNtqmnWTk0X79xqXR0qtp7Q0NrLfh8ryVVBRGiLQh5tuqrTHgkcmbuM7OqW5/09Wyr3
ttV7SRqygIbvaKwgSdccZZYDge8iq7i0iDwHVl+Nl3Wlxns0w5XVyNBux0C7PnPnlptK9eRNOtfd
53ai7sXXG61g22O6D7EdmUc+ISEUfKtBbTUURRS5VdIUpFhbXKX1AQOnHjA2mjZzr6b0GUDYtquq
3g1kMTammIZnveuQrtyaCIKTvwy99pZBnQsWXo8Xoyxjga8Qx5jptiVdPDWqZ5lQimNM/VcNvF0I
d13cZUzRiOjJLqxjl0y8W7tQbpXoLh21/oqI9bCj4rHlU6Td9QimQgszClVj39RLl+FgohykOCHW
JIFVyTec+MULapcgGOjmn+mo1cIZAKnPsveSuMWXLk/7A+doBx9rnm9ai/+Eh9jzIfXY+zEd1IOa
FeaGiAlQAQwAFws04HePfjrWzkTZDRYRQRPywhmcpnHU+4xCkyFrD4INSSiwiuwNs151R3ZeECWs
Xa4n4wkHHw3mxYTgPGiMftR5GYKJih2MzX31PlgyDfjs96mItUDMib2Xo0HJsIUnWzb7yqTnQW08
fUvS/71Vm7NAN8WyX0Eiz5YdS7Tiz4bypKWoq6R5YPEhgNMKr0LoVOsrp+nODk09HNQ44BG0VOFE
bNSkunWBYx+zeom3IDldv/VU3bfTSkcWS479UsS0ZheXRqkot14/yV1hCzpx5izeLEZ5VvLqZu7S
ZDuUlJMsNYRnu5jP3ii0DXjbYtcPDaSIpak2UAddOg+FtqtGY2ERdoxrZZiA8XuKcz+YMFyXLKoD
uje+tARxQgumop9iDvX1tLF4keUJ7wNDnKWuee8prNnQUbj9amxh9jRWZ1sZ6YIHyuOP1npMBSx8
mMrO22dVrBBIX9xjOcxn6oReEKQ/fTsg/Ocs9TdnKcI4OgPP/3sS9Wl4TX6eQv34C38Sv76h8FSX
9jeOQCTrfzpHaeYf8CJ0vnCVvDs2kX+do0zQehy+1kH3/86h1rOVqkIE4VTmYHOy/skhaj2k/TRQ
Z+yEjcHAAbQe11AFPrIWatCh5PTc+dIDyLzkgSubed6WtvQeytI0DvnEpicY47g59ZbZfwYone6m
1J6QPatu3/Gip2ugnuCH44gosRLdJvNs3TB/6Zm21MW00it9Q6piXPZlaZuRvFWcGR9gQEICkfhT
Ek0UqO4FlWi+HcsVnacWkUJVNhbtY81otfcCnRXf/YrONKdiL21mZnCEHRKC0SFiEcqOAADb8a4Z
uch3CgYYPVwbz0FzZ/BUT1xL07gmdzMFeDHXmHWj2jRt63Hrx+YyIwmXIFMF1L2rqCyTXesAlGX0
YUf3FdTg+2WojT2/FDbURShvFLil925mduwiAMqf6Z0gqsO2aLHSeJvUkXj1NJaKDg905qc54q2t
Zkbg1SMh4wBXv6NXR4rZUhLi/pKzAw2lVMf2pDtLWWkB86zpKsGNrBwmWUuy+TnJmDtl1siXbPDU
Z+uK1eBN2+kpzkPWDbUe2j2QpUhLoZLlsHdWTYdp02Uz0SbBt0CxuF6O3w1O/1kR/m5FsAkP/m5F
ePzSD//1kHZxWqW/SCzG97/5Y2lwnD+YTdt4ONgtsTKsbKUfEour/0Fsm1HzT5TMnybV+OvhGFA5
QJpwNVX+KbM4f2jQM5E7iXuvD/U/AmjiIPt1iVgBLCxBsC4xPLJafPSVxTPhtiqLk0NfOuLEEI3D
baU3/cmYMd4zHUZbyIWh3VLjS+UC0QyVmhYqHDS5p5lVoWIlEg6taV5357n8GbqivQcmQ3Bu1/oT
Wla8+lRPVrsVdklT15Qn1qHHg95tRSaiJSAmJzl/uhYd0yaF3ZvRY7xsNSBAyOEdubXF6HdzDC6w
dONPWtV7ES/Hdb5iZ0+exGvYE1jxzaifP0GCot+LzCBisYJSjc/+TBOzdiTmQPxuqnoZDmD7x2BR
ovbWohHigr+iNZtOXVsTauWcRk3Wb5Ipk/vOaOvLRYIYmXpDfVy6bjxlhjrfR81sbOeuT250r7db
n9jjmmWqcqouSzvdUJxdbBHJEEsTOZd3cUJxrE4HV5D1/N+MN7QTRORPdV5bfuwO46VrzluXzHVA
NUaNY7mGAAG2YLjL6Ze+iWrNOEemoQJ1sDtT29a4nFHGcYFvPBF5PlhHM9RZIOmjbIsNnzlnIgKS
mcoC9h6K48B3Nh7pVWv2GiqUw1hih5fvOnYXvPj6zMZt42AkDExLmkwC48W84Cw5Rn5PPoS4w0Jf
QsncGs/jJ7Ofswzs/KKFykiSysxmA7x5X1l8H5a4YP+8HzL1mUmwhZ7EDjGPhoeIGMXRk90nFBnK
p2a1eoEyNR+1pHH8kqjfxsrnMNYGa1PQKn7bm3BOGe7WxaULmfqqqJKSS10QxfObsravGV3aN7mB
eUFJnPE5og/+jFE9C8nxTBfz0nwZdLB7nL+JOkVtGq/Rj/44wXXsKCUL8BlPFwWcc0rb7GgjKiU6
a8bwxBS1wujr5IfE7qL4JAe1GM+0PNftaxfHPeOKVjDmpibOJhR1yjD/3+Xk2mGMVeKCNEprB8NY
cslkU3aXQldf5GSKK6XRlVCX6hdcUi+OlKRSS6tqD2NmCmrZDfWa94dGH0k3u89unIj7hXJNSOdR
EdoM7kWAD0uUe9UUVraN7LoqyFRI+ZLES61uOIykTdgrbT9Bgew0f+FbDi1nIA9e9aN6HuulCHI1
US+a1nOYoeG2OI+NfiMt7XnpvWe1A1+CwTzsyKk0wBDSxgtMJ2m73Uir206NdfvRitz7OGq+0NUX
0UtHp1XY4aXbW8U4utdJgaTAoIeQc2Lr+5g155Z/IfYdo0+u+jY9QU6Vh0mryn51cNM+QO+H1C97
r1/inRtNXRyIrnkuQf+I226YHT4So3lFRDe0tdPd2+YNZWbGuOlXH4lQvd1sGskBv8nYnnXa3hi0
RBql866Ys1NuqEiBad9UBSHZ2rrsLSMKHaNOYKhEWtg2g/RthwON1tjuI2gqODHDcqpUR9nHyMuQ
fwtq3myd2HI0j4gMs9xSlrAWGRb5E2zBeVNmrTy5qbM1q6H0m4g3ue/2Jl7OLrPOyPR52Nj56Nvs
LQJ3zE1oT2XLYNnALCoE5X+gpYKRnslLOVqSK0BG9b6F+HmwBre7nNRBeZDxJhHFCS043pRFT0Uj
iCI3nODF0Ed9ssHX65hqNsTF9AMghiW0+FOnwlLrS62g0sS3TGXq/LZudXVjCXxNB/RZl5Wqa8+U
tRv3ruUmAXg0d5NAx5EBAYd5FylRzbamyPPnJUOjMydHniwTQBYLxEuRu0hWo0Ce5hDabWFVaP60
jFfFEs9f6cNAdRmJ/CdWTCbSSbHtTFH/znyRcbdD7sVP7Erb1LrKeL6cSb/VUYfFUbzwYrG3EgjP
vlpaht3wQel+Ia8sEdrgPb3rFW+bEDdnfwGSFjE01u5iMjRoRqV6SlUH4blys13hQCRKmJEiFao+
zn+X3AuFcaS+xz0AAg7MM5p35OXJwZYmIFQIQyd7QPPmje1u+0bVL4SjeaepctIQKv8twVpYen3s
7CRUHRctM/0qyJ7UWCdck9IF1l6p4ckAwtYeWk8rIcHETPjVybjptDpQ6kknKMgjekn9aXqVqoTN
86LB0bEQxLNo5jxih422UrSnqaQpUl2m/jNZwAnDViPDrCiaCwxQ7DCZuR26xXtzifSBJUIu8WIR
ily+sc0XoarNGtourxsUnoNL3yxkl2INYLtXoxbd0nhqXFFZQf5XjNYZFFa57VCw4jm7FWqvnGWS
3Uxc12M0WTpPY3EVO+WynRiO8GpMkX18e+ztrbX0HfqcFxPKGgW1vOY0fzLzefal4Lre0l8T28cl
G2ZxiSYT16HOm7PjbDwZZHFUaroYR5IEU0O7chc1TCjWWe7KVPWUJ2zPE+AMzOLLhn4MpJ0xrxya
EXKtKMzQGVCD9o2V3llOhzWYlku2Mj1q0dWYa1QH1pZGb2gGw3/tdSy/zLU2UVUDiJAWKB0zUJN1
y6PRiOmxpO7g6AyZdhJ0tu2wgMhvXJTJDrQ5H4+qnUuW/qLiGozJQBuqSq0P/Mn9GiV9nTOXEDet
yscRBBDcCd0pb91FpMdSLfsNk7gQ96Lczrobf251oaAwSOumhxRBVrQlttgxYqfCj+WVbCAXKJ+B
5CVqHD/QYkwjb1aS5mrynk1HSQAg7RZz3KiLJYjrCk36vN0WiZGqMU4d4I4kHPSOM5tPr43HdJ00
KNFX3m2+OycumBCHKcqSF8lxJvmJKuL2ozioySxORZIrB4W0FBu/SBUoOIbpXWuWYgMtH5Y23eYW
yfra9RZqEg1hb/K4VZ97K0u0zZSpGRjzDludlyHaepiFAV151g6vzLTtOE/vFy2hiorjzKhibusc
ari6eXgsoL5vot7TLsrMLS2/4Mt/WozU3Nq9tYMbIxhbLQMKq1vRB9vmaRT05OT2hOrl6CtpH4fG
pJS0htoZBaKK0xZBifP8YKam+oi2m0FxAF0doNCi2tGUVOEXyQeVVN0wPLF4L6HBRTrVnvZmIrTx
YFu0XPONRjg687URyOtyojWDyGa/Exb9SoNNf5hJv9N11ZJuDOw8EeFgJZeMTxp03nK4kMKxDjZF
mzSqGq517oGpkGqwqgIjmt2FdHAbR1f07bgpKnP+PNH7++Kx5/6kz7ZzikzgNcQqR+eiV9mabWi7
i71LutAMWoucp6E0+sc5ol/Eji1zi3MxDmjWUA+dPi9d0IN5el7zoVA8GeTsU8NhHSCjf1lk8/xF
p9QyGNpUe2U9TY+pVNAeW5MpJnEm/Hld6URbhSYddzOoi+7HQ9lt6bk28PnQ5otyj5Q1O3mYm6m3
86ZShDS/j6fFGeXVTHThtncgeGAFnzBnMpug5T15pa4RX5de1+ZWS+sBLIzWdCGsiyEo64n5HiRW
9OfE3uoj3nvif9NF06fLldsuzR1mOwYbrOfZ13rQ+nuvUim41tQi3qC+ecd6jqNj6hTqEd5quyWr
0p5UwrtnYxlkINWmPuj0f4QK2RBfc8wmhB+osfdHdrSsSAS1A/SGpbmsttJGxMuokT5MKnvxhqjd
fd0VxlZRuxBbRHadxh3wlqwcrzI8wicWCew+ZcLD4oz4P5kcXxqrYJAobUOzZWaHs6mVNCaN+PLq
sudZ78zsBLIvAumjtmyghuI9yW1r2TP3kWHaCvvriJXis10i7QcwWqfLUdcnYyvp/tn+RxH8/+kA
wM5I6uz/FgSD1yL9SsHfr2f/73/rT1UQ6U8Dhg2+gJgB9Hb+wT/dFTrOC9XCRmHCboNOivnhz6P/
qgo6pOjg7XgQMVbfw59Hf/0Py+AfZO+x2sqJ2/0TcVD7YLBQ13oOnWQX6T3WbN1clYGfA14LmKdW
iOmK9dMLRwnHy6+NDOBr7sgRIdqajxmSdB6qaj48D7U5fsrNnie196r28aerd/M95PNflShvKCsa
+v/5b+2jY55PA6wc8q1jquAr7fXT/vRpwIwCD8JNfqW3+HjjfGFkJ5yaKky8UDUsTWliUBobXMfd
/2PvzJbbRtIs/CrzAqgAkFgjJuaCBLhJorVZln2DkGUL+75kAk8/H+SuHlm1ePq+OqKry21RJIHM
ROb/n/Od0oOX2GYdi1y09K61Ss+qb/4w6B/4HQmRcEVhfGQ6e8Yernv0HbacoX7MjL8E9r6CNP/P
rUTgHp/YYdODSMXGF/OepWqtrhbHn4ezAOkRBw4sj48TNWCoRu7MsX6alZGxXyE9clldMojTdbEv
p242CFOth29INpDecsqxA0Kca3IEy4QWpdvZeRyCbEiu89E/lUQD9lQMdP+hT9qLHIWD4jSjOVdp
l0zl/u/vwx9vAx4sHeENIhnYfK9f+s1tIE0kJmi66M/VEPkP9LMMmih0f5pNU43qGrCDf9dERvH4
92/7rgpFo5z6k4eN1GQs8o/1Y715Wwq+sdX0cXVm12ecDZ6a5woveEpi3sPfvxPT56eS+PpOtH8I
QPKou1Fi//mdGh6pS0sq9dlrdOtp7WQX+2jwEGnyJAr1diwWxIYzBE8i7GX5q0HzM/kWnB8GZh3X
KLZMh0Cd92/vuiIleomsc7fN7acSYtRTTkZPsbeXsg+JzuP8oHPrEWC0khj7vHa/k73ZH6U/W5cK
WQ8wAeC1JJu6xOeKrjFFkHg8uht0J4GuEdi9tQmvB8QgMIv9ENv95aB/B5x8/fx4ZBBkOWhmmaus
aW9vlO6MdsVDUUNNHpVP7JT6GCFAPlTWBsZsFZ8kfKCvsec3l2ppE/hEgNuo70/uy+AuS72dkxgX
FTyS72kn3G8TZAL3F85F1Evvb/Ka5rCmLKzkZ2Ynkre3n9JBAa53ySCuMqttIp/Nip8siHSV8HfD
BD2nUy3VEA76KPqBXRD5Wu3BDzR7ihcmj/q2vG0KCCP412T8SWZlfZx7vJuN3TYfQc0QOgC/Fz9E
RhWAnNEMKVXWV2fZaP0HtL+kX8cG5guyMqtya05JebCdobg1s/g6JlleEd/jtmdCi+4HkwiIwJlM
LmQ6m6wN1riAtJJedol33/vMrts6JY5HG5fgMJ8dS0Izg5UqPWoQmMqNnDkRGeDGgiVTzw10gbtR
11wyF8vB3UXIXY9WZJr3bWLIHN+PZrDZT/LoKxiBjvDfqtW+jKVbBk1D3QBYX3M0Wr/4lgJbZt6L
Mr9LMRe6YL6sGG9KN25nrgM5eKb/oZWlgi7XtTvDUMYUFsCsiLqXsdduJ/QbYYnRNRgb/0MSaTE1
KvJVDjxqTLmt9GwNVnCLR1XifDAhhNzZYrD3o4+laNc75fLkOXUX0sIHoYYgEDUccXRPcDrlSx83
jQ0ke9CRk8cmagQ1ZDWTQ8pwjqfRQxIS0dwfRHmo+FEOH1ZXc6HLCS8i+2AgY5F0NyDpFZjDoYi2
YtCqct85eRhb46zfSEDaGNs477KjA/23E4P0+70Srrp0iN4soptRtvBLNuSYz1X3LYkS01w+91JT
a+ymDwAmr59NmGcDrN5xoNCjn4d8KHN18hGP7ycfrt+x7FJQFJlZ1HfUnMSRaiopUSP3IAK8QWoI
t6v0PGA/Ec/DochlG3ICjfUtfBAj+oDw2XHrQz67MglgcvoDjOFBMKIkhWNUGCPPwp2jJVn0YWLq
OOAvUJAw4DD5lLuqSDsf3DAPryhU5HpvtQh3JUl6kV5ZW0DZZQktaET0Lwu3KMMefmK+s6u4XLbe
YrNiVmZujduSfkCxoVAY99fkyJawguLUe9HGCTtboNfmsE8tb/TONseM6FQJdwDBs60AYizzoaeL
2RHzDhCpDKN+WtqdT0k53c2FU84Hve/LZmsDT0u3rrLnYt+lbQqoybHMT0DCFxjTwkE0wn91DQWe
rvVc8qr6lKEBLY+iYyONknFwbpeRsgkFxdo0LhKZ9G5FLD2aoH2Eexa13IC7jkxAM4eXwCcI64Fy
eEixGOQK1JxGXpWcm6OQxn3TBZEBxaYTtl0EcSTiMXArTHmb1O3Zn1RLJpbvYCR8J6A6Qyo7fZWk
PdI+JDMkJYB2a+ac8REoIqVZxignT1J2jX+dRTKzttD/sLCVRKpoF3pUcEBqohhpX+K7TWjMyVJj
ISB1KMzx/snN+nMbA2NYxfCJEV9gUF9LZqTt4OOf61lDWp975tlYqhRFtjdZmrifV/3V2Wn8GaAU
iZBXJIzxSIo5q/ECKgxcrYiEoerzYlCEP7VzWahdj8Q+vTAAdN5b1PmfbLVKhzyDwbsDmuKKkFCb
lA8/wmUJKD/mKJpkBFclbT8XUrKzyOJsuus5NX5tukQcJlei0vdyG/lG5UX8HruoM4WoY8LapRph
3fRAu++NgWzujUQP723BLrgqBIGcpYdO4Xk4Vm5MwlSquf4Dav11cGZZ2+/dok/6azVbg7fVW8m9
SWTFB6upaxsXPMH8B+HpjO6SVbILPMNX9XGg12ReZ5zQ81vTq3zrqCzyZa4GNaybz2RW1zYVH4VE
r+St63qh2knwwLDsVzsgX3796JL1ic9FJOvZsiu+BfAxLtVK4YRCnE9MnaZA7X9TdS5TvhvZFcT8
HWsqEQPJhxaG5MrZaVBwHRPZqfGq1Ajb2eAPaNVOwYwQ4TxRSeKuM5lwFRgsIMSLr/tkQgoeCBz3
TyjPUo8IDDtnXGCHfJIA8oGyddl8Kwal9xcx29zsom6qPLvzeFrs+0o3zhQT28+WbtLnSqwkNU81
GurxIkrIQA2o2LSSDe4s9o3JZUWT1M7POVKsazX2BCK3+jzln6RTxv0BbVb5Mi+0cMIVhpAEnAM8
EWKHS/pd45T+J02Pyh2aQjr3rsUyN3cyuaUm0F+Q5p7ZlEU7M2bZsy0eR4npP6Bzm+KwMCumCS09
4R+tqjba7yUL8nzyDIZUKNcVG+8QTk/qdQt6JbRK7YXRjSaoJ78YJp60uO/YerfZl87HV6+BSjVO
iz90xjfKo9j1SrQc0zGVJr9KlUaythljJz423Bby/Yg6BQ8wTcOVmt3iLpsAwnhufyDJYLIPi3S4
OblurG5IkEb1VeUoCzEfUddh0lbldBEDnAPLa/dlcs9OpP+GrpNlhKWzn0j2QncHiGDyWp4Cc3tX
xK2RPhr1IrxpQ/Mxnz82oPx8flkPgSpxSZg9aVEjv5JkqE3bwu2d/Ah037hBSRct+24kPyxMKUqS
pm4OmbhWebHY59JpCrTizaQ7AN8SS6F2o3QXyqThrkmvShG2Ly6mH6/vibBQAtLrVJhet18ox/BR
LYUlc45WZyhwOqf9JO3ZuM8g5gA96lL/gbFe9tfoYw0WWLPxs51XJo7cqPGz6Y3SMwBgTO5H26xa
GUiCjqwrwg9hqLfUA6FrxYzokAIJd5ODw6wuUzHk9aWLpFpcm0ovnGOk1qT2VCktvso7rZEBQUOs
GezGxuGqKCI+fwfNa9cnXp4EBErpR+pczPvZcbDxWlHi/ghs+kdJ8QslBSfJNYThr0spt0n97ft/
Hfviqfr2VmP1rxf+LqQwfjM4Oa28+JVL4+vOv6sprvEbSiKqBwZqiZ8M/9RSTANwBptjqgtv3SoW
v47KDLsYMAD/kcgKp9nPpw3IV5RjSEnlM/C5xHsCVtvFY1f62HpJV4EAOScghHN0l+CjfTqvpv0o
y2m6woqYbrKxeSxiezU3uGezHkk/KdmLBw2GBBSHZXVdjPqDHZGmhnEdCExtSY99AbvCziDPwpo1
4NmzgqHYu+cGHuLGVMZ1piQQSFFeORKdoyY50jZRMHQ2XnW5Vs/ZD2+wu7yM+pieS67jtgUQt6Gd
2kLPBURDYwfnvr5Q7tavHfx57F4l8YEwwu2cSWfNsK6H9KUvsjwo6aqHbu2dXaH2kKUJdo+rFz+v
rmh53dIkoouTjjvLzK8IfbxGHnChx2szLtMIsk6f5maog7pdnm10m8VkPNeu89jO/Q6BabHtykR8
itq1reE5G2zXtBcQjIAU9c44eR/zqXhy9QUiI/Vkvcuv1iswlOMqDS9esgboZB8P2U4U7GdECTRn
JMWRCtJ0Hwt5u9qKwJ+zdHeF/4zx0N+zzhHgNl+saNTjUrDD1CTrtw65z7LTE+mOJroVde8gCJeN
9ZiI/ETv94nHxVPNoukmwBY3pAOFFl9ojZKph/naKrhXsxh2rd8AILBeUxt53sKhQmKDzt+suVBm
QhsmIkB+46+o5jT3h5WCWF8MTYoagtQyVKzl02jAzURxm28G+mPb9b0aYqhCDcag7PXrwZR7eq0X
hheTpD7pFyCWyd7MkxcBEi+0jfQqz9UF/WHwxbVPnEDKN8Rq/7BEEHSg0xZB6gstoM4vN1NKByvx
reUS8icVdLj8VsuOxVb3dBoCNVcc3zBnBlGdPlUTYnn6M89evVxwjl07/116zlsSVJT+1WvFB1+m
NEOkQctrONCm6g6tgrbZErKTNhBdO3EAiEE4kg5ALR9gZYzjcuHUM+0VudJYhSEQATISCF/ArmOW
YtP0+kMVG88+Bo1NuRJHh7g48ZAGijPeW6qAAgn6UncwsY+luheRkWzydCCXzqzxknMe2hpGipp+
ve4wXXHZWI91W2U7h+Schi0GimBet5pQE9qfGymcx5TuFEpdhiMlxTN6juZLFmkgsDKyZBB9TzfC
YdgVKo5Q42OJAPo6HVp3nk5tbU/IrBzvqCYNl24yFyENDHpFWjPvdBz8J44G/dbUCvFMJ+PLPHXO
peHlxJVvVJ22FuH1SQMKs+TA4JKE9xS5NSiEuDELZ88JtXogLu+hVLiigsXq/XRT4hZQSXTG1f2l
E/O0JWsclqFDDJJI8fLP9FkssuWhSwCu54nZxSfvNXWM8kShJddVzQ5FatZDTXoLXEUbqTvbU1XN
3XNVmZy9tSwJC/aGnjujCVrYB5UIngMU+NE1Wh74lRXDf8nM59qom03fkpmVTPDblUmn00X8zKeg
2IsVm0hkQw8UlLkPlu6iEzAZdHPuPrqag9e7Be8/dS+cjy4sJ/9F1Yjnx9vCIKs4RU+UdWvxGe3t
eyFcmjnWCGALG9IE4UcAI99GqDRTu71aIuNXfL53Bc/XdwOXp68hOJaBno9P86bg6VtyJKfDrfBS
QBdjJ3QyC5hxDqaCX5Ts3tXC1neioYxJwNSRIVMn/vmdpOsqkUVNfTCH/MmPWA3X5TgzJEELPWDC
I/+m/6LMuVYB35TGf7wnAUxoF9FS8L8/v2csKj/xeiILZ3qfod0D8iUTYKvRqpaaDWif71sUy0XX
s7q92Tv8SSNBrLW9P7y3j0aYijIq6vfUrAZDz5LNXnXoy04EGYaba8IZSKbo9YusBvhLPeVZ9mra
5XKaTmzUmbd+BZ4GAGriEMpVLRdjPPHUFfbB90ttS45baHryQjojB1zHXCHMjNU6Yxff7UpgxKqM
H3Tw1HQBrPPoFUQ71GDn4fs0n2Pbhn/vsTz8/Tf9kyEE3IFisuEYQLne9x/MIvXL2rSqQ2L2O6vW
r3V/uS4XnFm/eJ8/u6IWFV+2Vp7FUFpH2NuxKg1P8ZeMVb+wjr1S1zMWjZCzMlJRx0fq4AEkjI3y
ppjma3fQy5sk5hlqLfFLu9K/160KHDyA+aa6iLU+4iQz3mu+cwaRsoe1Qw57k5bbOE6cfatM9RhT
59mXsdmExH6kKJ66/rbK1YPqeOyPZmqdhtTjOOKArreq9CVKV55mXrxChuo9kvEXAmAfvHjcwavj
4d2IQzKT85VUZIMQec1hWpHluIK0x+XanVukISa/2/colCBD3LoGe6y/v5B/ssLgml4xCOTWm/b7
iMcFo0dLuaXiNGi8bicUKxsuVoeKjzj8/Xu9U/6/zkAaj5TGQbL69Bt+vmc0++l4W3N1sPMJQBLK
k/pXC+brTHo309ZegGWt//RN7917pEmbD4WuV4fan5pdnyrEo9HyvK706UL8HlkSp9y0Dr5mnqHS
JqFbFSesq58ovn71MEBvTLphRIdnlH4yHuKJz+rUzOWVYcQviyNF6EZpfihoZGyg3svNqC/9ZZE6
4eQ1Hz3EFtizvPhozem8LcBAI+0Sw7b1AQRSJwDX6IPKHlUzbHQzfbHxYQKtIeFS5afcjuctOS5s
UNHLKNsgN7RKkODpw21dmUloieUXEZ+vHdX3F8zHZe/prMOWZZs/3xRk1YMiiqM6GAUHBZoCsMwH
JDWmlvOdE65AynYrKGbvXNoOyEdKzxzuyw8DicpelFeIIMD9yQhtz0BQeTAm+qPMGhF4OkKofHLO
q2RuO0b2OfHNDPMmK1FTg210s/lBN+Xz0utUJtM7Jdgdgo8CQK8peFf6AzRk+htU5veiAAnSyNvY
dsZNhjt4YzUsfL0zSeJmUbmWESxm014e/KabfpFr/CeThGfG+h9D0Kcz3l0jGbcgA+VUHSg1BGxx
aMFIPo5FlT9q4l/cEeN9E3ydJzTkqHlDbyWu7f2cbC0x0wQdq0NnUug1nL4OvCg7RTypkOyl26Vm
SC40WMAOsUyhnnlM4+IKzTDUrxrVeV3B5kzLiSwIZ8HqtRp0gdV/7XPjEivXhwIwP8Vzdvuqgjgq
mv65zJZbVcwXJZjBzTrMYpE/RXLdpUIGyhb9qh2JBlQ1nah0CCdQrLuBW/p6vASBRLHY5gcRH52w
IfOKRk67JhrJxQQzf1Qefp31EBRVgMIlpZFTNcr7dOAg6eUxGuKWo569yPtuiPXNbPlo9qd7Mzeu
Wy09CcFuzXDHgDgu2O/8i1by/0TTOiCbcQJa1vXhOo16ZZ9rV95D2uUAQR2U+YR8sWjZLelRdqWw
swaY9gh8gF/fZvYazRu1l76tnpFYBXLkAmdFepUKziy+YituFdZjlky3kvbpVtT2YarKkzZlpwUs
/qaLmcDDUJw4FO/LiCdLGq8CdWaHIynrGPYX6mTVKTdsTL9TIMwOYDoHIxzt4HKIHLxArnEuBuvR
7NJfPY+dP3kgs9dBA6Lb+K3+gKcuKJS1yCzKQ+/Oz+itb3ud595aCIxspvW6/3o9ahMYRRaDz07v
dc5XRD3PsicfLeNlbSkA2wCUhfAVeBM9UlpYcbuFglyFvoKvXBjI/qY0RwsfW2nYotV/Bv/rXwFd
SYIl5rmIfdC/xHLNLt8VZ1NjjUFz+TAJtlt6J5o11Ij6cDzkmErZWcccDHkeJqLmhsRss91svB9o
3206E/MUjYutPxZXdE5vLXtM93VByTvtchG0crkoE3lPhCBJRAa9Bruen51+IQikGW5JfcoOeUpe
EA8RDpnjvcBctu7mB/f35+s/FbZfVdg4/LJM/nWF7fxd/tfVd5U+1z/V13687He1kr4CXyzHFnR9
qdi9qa+BYvkN+aDDQQUotAtp899qpVcWjADUQpIv0p1X5+PvaiXjN+jN6Itgy7gs5Gwf/ue/fxIa
9O/+/FYfZL/b0OhQdckh8ECVsN8FN//uGNNmFlF/hCNddiYy6yerBrm+qSwXloqO0ajyN0KubhIU
jXVfascazYrdYcRl31rD9d/TLZq/dfTnKI/odI4V8RcLem7H/d52hRukaH26pT1UQ+zkPTCmQs6Y
DaHLeGO8mUbTpCZfuDTGKMPE7JVDOsBZ4n/QSXFysVaMa6ZN45BpOd+JqgP47Mhp0D8XAt/hjBdD
owWA8kRnSUs9TRIF6AJUm0p7repAhM9VcsmuqG28uwSjYC0JKqLwaKIstga4KxkdpP6+x9FlhLgT
RaFju3eHZdwTBeWZ5bbXywrZO0GyQPf09jnR+m7nts18bZtFBXkPKi4vdWZt+dJgb0j/KXF///+I
Bdlhcyb66/m3XbHQz0P6PA5vJ+CPl/1ffZujAcBpF+KzALzOjP6XWtAVeAiRmFFaJmOB2izH7Tdq
QaIXTMoW6yTkX/6tFrT033yPczD8dqoZVMz/I7WgtXqYfz5Xg52nEkbtBTktpYR3E5ADGYV5sqAO
NUU3UjbTIkxgoOGTGh5nJ//qEYG+aeplCBGK+ds8c2AwqTmnB5c3W33w7r3Jy0+kjeVXaiwuJ89C
6s2TwGw7AZYQlJObIW+ZR0vhQ0Bab4lSD+CaCTJXW3/X+Bq1Opz7W+RrNw3RiXj/IwrulpeHRuuC
oGH/tkFkMm0z4uy3ut7qAUG8j1Ph34/EytHWYk8F5fSrozV6UJT8eG4AcKontzs2U/doAIjbLvYE
4AfJRFhG7oMm9VuQDV8nwEG8lvJ9TXk3HgQlORcpgmPeGBQ7CCXh+ziNGkK9ax8d4mE3Q4eyQGp8
vYqWNMTCSg8mDSxO5x3jijSRqOfSTKgu0FELSmT5C6RztXEcLiWZM32gt/zSYuISWHn8ka/AZdC9
Ywk4OUCskG3QQ3NmaSwNq4SJ3oGUoQPG5YZKelwETuvwt7l1I71xCNdXQodC/w9ieANYtdrEM5eg
KcQQ2oOx3MQ1zMm5QMXT85aIHmxsPhyNUYiacCH4QAIXE0aD+GPeI0uJyNwM/Lp6mauWTq/ozC0O
qRxEzoz4BJT2c1RoBtfBv/d1fQhFVRCJRwgrCF8UPbTiPTLEJpPGgN/fwyPNL1sIK1uQ+MuuWfSF
UwBXT9C7pBHoHvGX3r8OkrSdPQL32j5oXMYBmoObcsJy1un+PQ3ECVEF/6BUfTOlfKg4y60jxAx/
Z5BkFNRxib3DH8xwos8Z6AM/y5HtnPYGOI26N0OckBnZFQ7KG/q9YHeQnpS2fWY8v8BeXYsFfPRC
pl858XPvF/6URVCQJkOr2HN7xAoTALXSxxQcUexUptssV3qL2b3ru8fX+13G4C+mgmE1SL4v4YT+
GvnDrW9xyY+OV5x0DsJMcka1w896CaPTcxkq9ToX4naYPxYJfyTj6asw+CDMPPo8DZmiI5cLY9T9
jNgllC3zxHVldJLkkl8lLrODavqjSzl567jcYYw/2cZjNr5ejKphUkiNH23y8mtZSzOM6OufSEi2
Qyti0BZ5H53myjduyz5rwArJbCM76stiaJodiEwz7IgDw8locUn1ic8QJ/2F13PajJGeXoo2StEm
wPTMXSblLMVlKjG9QJxklFX8pZJVfuWZTFQYkzp74QT5zhwXIXa+FwyZ6c2U2OfX6SUwyx10YzRD
hSc2GGsPn+y4Gn0Ik1ohtLRrEr2CnSryEFAY0zBH4fl6b4loX5OMKh690bqEMASoV/sIybg2r6N8
odS+I83L3/exlYeIX/ydI5IikBrD+XUArCOcKX6TWku1p8zub/2J+W2BPTy83uZhxKQydAwjRWsw
nDIjeiKdXDvYII7wIvNe4Ly1Q8RRDGdE+hWMHLfAyF/wjNGLE8weXWM2l2KAl1BBENO7sbpEWKXO
trL3nsy+Eig5bzRXVpdRbuZh4TIjAArgYrSZpzSqjMsZ5dCOjU62qUpRXWr0CCBZsnxhKSIGlcUB
ZRBtAGtPck1Pa1Dxyww5Af4RzpbanggQtfV0YPruKKm+rGonL1BpqR/wVopQK+j/uJh4w0hy614j
96LRvEmAru8Xctz26BRWfMM0be2Wrx1NfAQJJnbDFKkPJbn0h9Klkve6Npk+7ITXSYsubdpqsQbb
a0iu7Y4h0dnWjTln896JYIbayMR57HAynoGc7nq8q9u8LvQAeVyFdNZS59HNX3zL5tLMzIDXa81e
Mw/ykl85GtxXLDh5aKmhDzTPZgkkdgUNqBZdm8ZCdbduCxyq7Uvr8n+XgNqZ9A1UFtYTSyvSndF1
z56u2WG1dkvq1n0o1/5JTiNFk+PZXTsrQnrxaU4VJQGt6AsjcNAahiYZJLgNf7RuCjiydlFiF2VH
4IT46jnykVmafTWzWuFTzXybGDzz3o7zgvKrbLIrRHcjhh2dWyh05HUbjEF4/zK9xZ1Zp8N1Eluk
8Wwco4jx61MAz0DjDXqoZmR2oJWThhZd22onSglP2lDX33qI2Vaq1+MmFip/oZGnLSg2NbDwW5Z/
eRiqrt4hzCHpdNNprdhioWPOZ7RQgphHUYC/Iboip3DRdoUgj+yMlNxzjwipgKGSQDlojwQAA+mm
4F5cRokv8LV1uLG37Zy36dmeCFgPY7OKtNtqZPtACuv9m63YnzQM1ur1T0U5Ti30KQS6DgJ2cGP+
XJQrqE4uoLTGg5vO875bkpc05+EiKu9+7GrMewOzzkp/GTD1h0LX+r60ftBNUZ37oSp4W1WfLZPW
YDMeDPm62DEHRZp/qyTdJ9XkL3//Lf9Qm1jfjTqtY1qGrwOi+flbcnTSrHSpxkMxM0DWnQBEQY32
cq8Hr+/0zyn8F6dwNCB4Cf76EBB8L57kU/f97Qngx2t+PwHYv4EIWutGhI85P7b5v58AiLPwOHi/
eoV0B8HK7wcA4f/G0OV04AsYHvpPmRbeb5YFdYTTvG2+Bl78JwdwY+XE/jRR1rKWASpEN6iZor95
N4TyjD2RsfjtYXbm5HHIhmoFyws5YvbGwKbcrhx2TTtfF0CR5Rb8Njtw14copze7bALztVnEYjxG
KX64TVUhfUWPJr+rwdHWp3u2RfJJQSoerivS45BBFl8saOGBgGqwq2KU17PQ47BT2Eg3XMT0ELEn
IyaDB55Sw3IuMhsrv0eX4AD8OLLWzKTuRPcsZ0vAw13DQLcZsKPSGHC6CwUkD+KcKDaasrO95MOZ
G4QczdFdIA+RDz/cVn5snYBCA99vtce0KHn+tBUV8RYs5eibMXpltsqN1zdwxVkkStXfTNh6bS3n
S0Z8UyMxb5jrYP6wlwezLTR0r9UASyF/gcufIuvwkcNUOkcn2mDLzmzRKLQL7w6w/cYRai3ZD1dD
zUaAMsRNanj30TReGRHu60RVd7JdjEvFQwBbKiZWWpXrP8pLeg2Xltc8wu0gl9oY1In90xc22Een
xW5UCHFDV+5La7P3c+v6TmXa8jkv2B41IkmC3GvG3Yh8c0ui4ZYheK8wJULIpDgSOetHaDeOza/2
WyX2BNjqH0SuaTgs8vou7v3iAUqJ9YBEkD3RuvNv0UfvUHyqDYcfxKR6+UKh8Jo21nKILO00EFP4
VFtGd98gmiBcDNnqVjSgqNkGXmN8OkTegoLVHtoPM1maj1bu3Tt9Wu9rRYEXOGlMwmruhgsUxoPf
Ol7YFd5HILlaS6FdfoytKD5ZZU0KASLh8sb0o/FZ0wlR2rqtLm4GmvDnMsUoEUAbVRxOknYJi6S6
E6g9QgHqEM1qLW77YvB3PfkJaM4TNKQr8iBLpzRICsSWU6laf9+1Amx23BgGG4S53mSUtzaDNzn1
2TTUeBGTYUkzh9r4R6Su6YVVOvoXiy8e9PPARg94ShoQeF/XO8PDdbERJD9cEBFvD8c60+0NReVh
ftEqe9H2Hs6h6GX2XXlVmB1KgpicSnaAKb4DHvhwrDLj7p+F/v9T7SFM0cOf9tcr/dVTN/9BzPjj
RW+Xepf9BjVVyjo/iRn93yxWWuHbKBioAv201LvrsRKtI1XaNcDo37UeyrD0eTnhEddmkQLCX72r
rf5drfX9zoSjOFsSkr7YKPim81oJerMzqfQxQ4KXs4jGhr3Q+bFIkFbx/LE0FLBr9AzbN5fnT7Zg
70tLvKFLbQsRA5+cDe26RXvzhvjbkoGd5XxQKutukCtPIEhk+gtr43tRCu9C732l89nsu/6glxhs
EsBaO1GIUlq6QaZqb/IanHC6Wr51TRYbo+9kYLWZdttLV338+y9JauIfHqCGgwSHsG/P5B6/j1Ab
x9lLp9kdDrRP8E8omSy7wk30w0Qb/1IhBDwpuLg85sguMejFioi8mCblqA9tz76rPZuInTqC5weU
FG04G/xi4y0yR1aX87MkQuPUEXj+MSE0GfUdGyYW0E/8gS8UC/JbkXl5sJDpfYDWuwKmnfZE7E/L
Q7mF8zKV2Gub2MBUxsOGjhvxeBysW2XcU7Nszp3MjXtTTep6ECPFBKdvnjxILDrohWl+SSiW76aq
mB6KkYNen70eHtFYdFEKDEHWZnVJkGL9hZTM5rMR67xQqtS/7BF90Hx1olt/Av0dTABXcNy5CL23
OPl5beRZltibtPs4lLprhWZJzXsMLRxAVZ18sNuluiTVkep8EZvFpnHT7qYuJugouEqGbTa4Hh3s
ZLlahGLjoJcyEFHanZB8tjd9OUSnZXTV3iH54PhalkBJMD1kejk94MBx7rg7Zkj33AwrEwXTSFTD
80yq6zZ2qR6lspqhz0f1ZzYf3JmW8voBzCJzSKKCELhLLh1DSw9UduYXOTbzR6Id54+z3vWfnNrz
LiMcsMc2Hox7HKj9px+bGjREl2XpcUX8rLWyjVVSlNk4nOlpT4Bd6smIAmM4mSFEn/y2cUipGY3Y
2QKZ7yDs8McY3LKgAGYuMHYVh4zKGttn1TOdPW3g6JyOxbHm+XqeXWTyasywZfT0L6pQd/ri2PSU
tgaaE4FrUbvRjCi/jalL7BwicM6o9OxtQczy91yfOb4OA+B0NCEsGkb9JVXt9EBex3LltxO/SiSc
/oHObAhw8S59jMbniKiSraO19ofXuq3l810AaVE79QElTXnOUJySavpOWvJMiLxpfYgt7gRVA29j
VQ3kJVRl2Iuakeuax82TW3A2VjLKiOlUGsl0dRJFt44etc90bperSibzR1OW6b6qmQxF1+Y7CLDD
N9yIxn1qpTJAvbTsDI1riyWZOJNxvdTrEC0qNX2fO7798lrhbBfuhIVMFWYx47/Lp+Yzp+voVPT5
Z6lxIE/SroSx9gKXUsdqSapUssFPZx6T3v6im3MLsSkaH2KTsbnqQNK9qYMPtkAAg3edvg+W25yb
zGZQKnNCysmNclxt2KGPbj40wF8++IO0P4xzZNxXQK4+j7ZTfyF7m9G61q06M6q/CHpMgOs0+055
sweKPPNwslWyfqKR1VfbVKw+LwwR2Hn4clh/CtJYeu1WEe88UN3Jlivpzf2nptfy2xnMBlXGmOtj
YD88qSIr6XXp6WGoTTBKwOnTva3S7rkpSFZm1OYjuTUU8UH75v5lBmxJhI5JatPgmLFnfiIEycid
z1NdyeE57UbrcwoeLI8PQHYrdODDolUhR2icV7BCIrjqsRitW7GShZCvzh8Nb4aw4YwJqVk2hpS2
XZwd4xAw0WCC79/UnA920MPOY+2bG7CAPgWb/HpY6Ua1Xtxq9ni2yqbku7v2zdLZrJ0IJ89Eo9xF
dnQuqW4EiGziQ2wuybE0848QU6EqFYT6jNb8FTnaGFrT+C1PzPKoVfEze18IY4uDCfB/2Tuz5baR
bIv+yv0BdGBITK8kOEoyJVnW9IKQB2EGEnMCX38X6OoKW3ZbUf3cLx3VNZgkgEycPGfvtY1eXlbk
Q+COJV6AIPfuK+Ge9SZK2gu1MJ7ysTGOauE+GRiqcOvYURAtVCix8KHIxhqmdTOHRyf1jloGgDnJ
65JoOz+sD8Qa5oGpKbGudayBRZIN1arI89dIzh3NILt0d30rJkLUy9tp4VfhOPYvUtK0r1onHbdO
zIKt08K4SKZQbSAERYd54kZi24aMtTCyioWWRePOw+hGOoG0PJZlaaS7WEfWT/YDhamd+HvIzx/x
lNEfXZhcxhnPZXLtv7RygXZBCkIhUMzcw1WE7WpvSpBpjjE+kx7YXPatiTZ04YBFo28E1AUO3PqF
EzYBDLPA4JP6sEDEeIF72+FMFjMZuKSlU99aSw1udFm7xfwbK9x1GmGJnnr2luPNaGXqolTRgNwM
jJl/Jpo5ypl2PmX7yBiHHr2/wM/cQeCIlFZ9Q3XmbcWZkibPxLSJTSTGky+ZtEjW1ZVY8GqENM0b
6GXmwVSS3nUcs6paDOBZDT2MJxBavH2UTqM+zaOVMusglc5rUTjlgTVo1dFonPlFLqg3nMLznUxl
Fa2N1t+r2fYPBZC962ThxA0wj45ZIcXaMXMc4AtPDns68CBoAzfuQpurzuC5qBnhFElvW2tDsdH8
fF6NC6QO/mf66DpYS7wFYScWmB28XG1bx7Dg+wgBp0GsQJvo4yFJLMXUaRiCSIv8+9yLjF2e8MQ7
CziPlIxw44+huKpgDSSrbNRui07hz8DJeyQObshXwvZjsakdUFsiqj/EID8vfaK3EMOOI/TznGzt
oCBN/Uq2s3EgrM8FFg5x8SKfQ+upT92JUBB7dDFKEENyscSFeUz2Uv2bLIoiD4SLiS7QU304zDUd
e1lozY4urv1E7keSBDPpb5eii1BcWamjXxmtGGZMz6UR2U9kIuj7Mc7aZKVXZUsvVuFpdmN7+Fyl
4Nm6fFzqAlnf0FpYJmkEXG68oUguNJXn2SokIc8lJrGID401NJd+3VYCrgCmOBhcdrInZw6Ef5pU
9mkyiTGY41J+NqWntWsUAtlyb3SkS5RIaWrxHsqNeZ/Cw7/0zdBmc5bdVy+hh76ORrPKtnrWMlKT
7MKvZc6MQ05aeCszl1IPH6l/6dJlCYNzo9+N0dLSWrdPc5JotxqhZfzcxIq3PThzL8DlSa4VRV4c
CEfJz0r2syS5i5tkzLydQYvWx+/FV52YWPeMqf0KhTRlimWTSLcyEADiSJiAS1KGOh9VhjNvtRSM
5cYcGPiksZkf4DOUl3nDZEboLQa8Cppe12D5xc6Mrh/AYMvLHQ0zrV38pPcJrM4TmW/MXxA/fojm
87fwayLjHMrSsK6XTXkuplcEccsQ06U88evauGYbLL8ymayGQIuYErSUiUcnWsyt5/kTCSHTLja0
/j5OdO6dUWteudahbO4iskwvmFzz+/thDKKId3lFsfUEjQRBxbSUv4y9n9xO5QcCDfSVFQnjzivU
9OpNElr2HFabMk186A0j6SgT3i2wVtLKD5np1zfvHCJ+ESz6HJVMj0MjhxmLlvWbs5KNE0zmZHTs
Vc1eMoFTJOyh8KdtNSmeiqQcAz+23NfBnIY9YUEgEwzzxUvlAy5krLY2rykNwCRIhqK6GhpTPA1S
llcodrMLXS+sZ1NksbqirVUOF00ce4fQYSam0z7eJooLWXALkYIn9kk3YtCfqqBOyAv/khf3vC2V
NV3gEh6Dpu5HRq3cWQSW2u0QNc5HzXanVyi+dC+Yl5P1aRGqwMvCod4Yq/zQ9zw4Sw4sBxiPGSR5
O/xLxN5x65sF6P29RlLwIG/KvF7upb+USxmFlF8wlxJ64nwkaVNuSG+SHzKCpS7Tvubdb3DUi4Z4
uI9IOoTNgCQGRwxBS8cuB092WYdjxEVK8Ldqqu0UEFlkseteWsyw95aV9lYDfoBQFhEsilHzvgqF
gZ1l6fK4DiEDh2zpAIXz8jdCCqkw0FuMieswoec1rGwqnQtUTu1XplsKTByd/ttGj9MygEbHL45K
v9ooHv6YkAVKKFcZOrm1FFccY/Q9px4ebVQTD3pKic8M0F63tlY16wJI4pVqFrJoLOTnKe2zbZN0
ya4feKvp2Uh7be4o5EDH9fddkj+7DXX7rAz55AGCTIJmSgaKea6dn41ecpzxsa9Z7Nptk5rWwWDB
3mTWkOzIL3BLXMpdfuhsr3pRk1a9iMngnWzmJrZ9xf20IJZecwLwLqFXkJMycthy8rJ9KAtqSKUM
66Crrnrulpq6jP0cOUAHkU7MuRpWU070hTFHxaFpU6pFMlth2SXuTWE1/f15ygsBrnqxSb3c6YLK
VhqcWsghmVl5HcCLBzPlIF/XuURmCKZpFQpVvXRhSS/Z66hIQyE6FyDkzBpp9b6EV2rwD0Ha1V+q
UnFVijlftVTlK5uR7r6M2YtqWdMNMUeWuvKXreusYbAnxu55YdaP4+R6l8bI8baVyC8jGHbHBIvP
pQMInsFSMe1K3BxrGNvDPeR+jlUjuH1vOXn7HmV+kXEudxOOJ95Yzq8eq3TeJN4snzKHVEblys9d
T8dv1O3oZCxyk2Kk+WgI/tBSWwqW5Vsr4dM88JKKB6PKl3uA/uxgLEtVcZLlRUJohuSQ+mzXitDK
BgbdKtUZ8fdkl30C3resc52DU6xEfaMDXxjXVcor4LwHyjJawnQiE7ek5fGoUmxwnrbQKNDQ4tfl
7nQxR850he/duzw/hvgz2cAJydX3qtemKxFx0rTaqb45n7RLi8enGHG3OgYn1rrg9JGXRrInDbZY
I1D1LvvQsdfnYxkTYC6DqDlR0Ojh0i8NlDkhezGTHMTHOH5tvHm6mllu5YI54CUwKnoQHvP5jS5V
dltLoZbE3Azhs8ersK9cdV0vCQZx2XGLo1HPwefyi3QoSByeZ5Zg5Y+0PjAS0XbJdHste63a+CmP
YEnDZNyUBSsmUoV9MmH1feRFo5P4AxX1oUvJ6WQPy2r4lYIGBUOK+kuUctJtyeH8xKiY87LZ5Adt
OdTiGGNb4yQVwsrmhKx5HKxx0JQN+Z8Jf1KBkJjxAFscZNBkdz43uwSoXKmMnllZxeKg6do3XZ+X
MsXVuH15wUuqbvVs+/3RTGgZMYHPD6ASwlvCYMtLlFFLlIzwLr2urR+BdM57o43oZfRLjTIWVnwa
BBXuOtI7NnfNbL9WuV89q4gRTaPX/uXoss9WY8wljO26+aKXi4Qhy3pj01K2ggOhLOpS1vTyPNfN
sg23YdVeMAWnE+QnLrVG1vCf+yTnXSzRtnfx0m0cUX/yFqAwfjY8Hgkx9+3Xvg6rl9gIo5NLGB+T
9+X5ATu5p8SkCeTwc8Kl63AuKzz4T9soK7PbYhw4vQtek3DxzbvzuwFBAWlU8LZPCGKW8z7NK0KI
xck922/90ffQJXGFGUqbd2eZi098xdqpqEAEx5B17KTGnXQskBw9N9KnMXeYcr28nC1EGrZJ8VAs
94CsZ/nUtiMCrQaBZ1CMJIiZIhrup5HyRGb0RfQqN++0omSzZR97rOB0PsVOHh45N4IVX1oxQ0ez
yDNleIxIYsUqQCOjZTdBHaSRJxV5iiekUjN5oxSZBQt7B/GG7lOVsygmfaiec1OjMTjSq7OSkBKt
o2CxHIALJk29DS97Hp7zNqvIFNxxYp8umkpED5ymJrmazGKp4witO6qGFKyGw/In6VItaWRjT2vU
91xMne0tHlhHmQ+UVHcGSW2N6kRC+bhVI30KM1dFcihRWRxHmdO8WbZKkhEW9ZCVneDIMxB0EmB6
TKo3Vu3zfog5qrImG7qCJaS9K2Y9xp1Vu/03twzVjqDWfFXWGQs38alFZV7Jz3gBKTlqooAOKWzy
VSKT+GS65fMw2Fw1rFnWwfRilsqQcQ2wNVGFDmP9SFWSCmRVU8hLWa+AIpkoCVEd6WyyY005wdyF
5I9pmIKh54ZPXjZfZSatzPP/PS9M+E+8YjSjb77YI+9UIMXiUM6dulamRh5LnCKpHysWdCLqY+Ta
bDKDzZMtpDvbxMUlCLGcmUp4dKetarPXXsyVs4lbDg7nBp3bymcBvPV2XKqASTHeC6SJMpgDHL8Y
QX9OnEHviSeCZjEJLB3wjoPsBpkYH5ZVvXfswq5a/blcNd6KK74LWlGOurZhoXddRg0/dPb7yqpg
F9XdntjZFrD43Nsn10F4F3WI0SbB1hb7FN8YUbAFRFWxSaGz78ljeY7IVLzVSqs+ttYwXZSjrAmi
FuI0JKb6xJYwb9/5sr8OuFGrI6XH6Qjb0X/7ZT3Xy9xBs9o9CZE6GKvS+ThJzmK6kcYnrWfd0a2g
EDUGDkVZx7BXp5VxzKh5XlImwBBr2CP+/KXOstof5SkAJWwX0e3ypVzxy2wk6nmS/WRh5xQWAhvf
t8Kg9fr6ch4JwWyaPg44vc8bqEv0JsKeJlsqubtuvJzkxJDdpiMPlZU77AahXX2VSe7eeA5BX+yy
FIZaUxEGt2T0/fmb/+akgjEVOTOjHdfDCPxGWNOYflYtM04szmZ9DH36NnTuqR5rQqpv8qX5Olu1
Fwzsic/txFukHEvOhX1n/zV7+Z8m5R1NCh46VBr/eVIJvK5rki/d/1Wv/0dl1heff+bZfv/v/z20
dP7F0MohsMZj2PN9NPlvfQqhNAbydcZ31oKzXcwjfynULe9fYBN8FCNLhi8uH/7Rvx0i3r+YMWIS
wXXPM05Mzj+ZWp6fp59XCu1c8owxu2JWsZZf/uNeMxllZgDk0vcZAexF9JpH2ol9+0CzYHmy9oyp
jq1O2yrsH40MEYbVvvPIL6p/+fYrICQzUMr7wA/P2+EP211lO470ON3uq2bSP4TicYKD2ZITWBZU
H6Zc6eTEBz6wFLJbwispo3TH4i83o/kkkEHPMdpTkEX6DKet8jCJ4Yd1IXAtvnQGdiuUfwG8K1xc
8stSxCYVQuESbkb2nFLeLn85CQF8ZfrUztUuIWKj1TaTTdod+VEU6+QKo8YtsaPoHbo+rWkt+toZ
REervOfdtWp4JvbYvVcwXlbCtC6iHkgiA4Ab0bWS7ikvT0+7QntAqdpZLaXdpdD6G0QSPYfX5YDu
dzeO/2RY2oZ4hJe55RugPoC/SHwkyehF7a/0ON70VR4MqlgDV7tVWkhQLAmK8Ag3QyefkdboOzIg
rqPWBVZQfp4xLnZptq4h3Ow4bXurESfgyirLL4US+i5LPZov+vilFLTOnb69JOoH8I0Om8Zp+TBO
NZlFfymNvk+v/7e5vLO5mKB6USf8593lw7fh5evLj3q3v/6TvzYUY8nGYxyP/uEvYdvflhdgFX/v
IEtO3qIPwEkhcOm6BoP9f+8gSOZQpdEO8wTSCJxh/2wHeVMB6M5iYoPWDTEDyJS7GN1+3ELiTsC7
bqR15YatS0ku7MNkGVpD2xEd8UT8UB0QeImkzK+NFZi5YYMXAjgaWv1db7b1Jd2/3ny04znDGps3
8QWcGzKKTVkrkpAacDvWIIbHLiuaoIsmTkpyMhVqcY+8J4moLlAO485dP07GbU937KkcwuE0NwBY
Ke5L1HbZ3GD2rsNm3CaFyPak+ZJtx+yxX7ly6naOz1dcyThVGWKNakklmijRxTSRpoKoaYz2vjDm
PlBZqn9muEnXMp+y7GvtajX8ensAKQvV9RRyNotWiLb47YzG8N6mKsncQzU1Yt7OBsb6HfBE/qnV
gjFYTlDTdc3Rb4mvLXG8FsWktKPHF4TSEM6MrquaMubG9GR144s0usXyMpzqfAFXYvsOCMfxiAlG
TLBLx8bdF0Rq1etUkOy5T8D3Xjden5WBJhrVSTj65ifcBnCFZTB+D8gLDTvpsQabkeXuPLuE8OY2
UK2AyiAFLPV1tiTvEVi9pPB1E/l7ojUq7LEAB2mlwIDxECbSdMkJN35oZY7s/ZaYEfZFXHdsf3YS
Dgq00ZmVWpzBqUxrmmIrz0DV3hILXdU+o1ZDsOPb4TuB1W7PPFa6DG5HcIM2xAExGQu1ld64EQK/
jfMwwO0zLA8O56hZpfYM7hYkzSojsRE4UNed+bE07tMFJ9u07TBiOc9Gc2yNx+g7e1YlZxItLYaF
S2t/p9SeV/H/Nrx3NjzD0P/ss91C6k5+3vH++m/+2vE8nQ3P1G0kK1Bpl4DPv3c8z/0XVZVD7IBh
YrjlwPT3BmgZ7HIGRZTFF9Cpp9FP/bUBkiNAqiA1GUkpbFyYFf7JBvhL+eLQXKKrYiM/c5ZT9s/b
XzQqfWZp9nvT7KMOj4+PnEiYNDNFb/mcb+ympHfT0xv0Y1wfP7wcrr+XST9ZfH8unuzFWkhZyfXB
PMsm/GayUdfR7A+zIiy5N4eNOxXOxkjMPGDGUez/i48iUZD3Csw+1G4//9DGSgfDKOwO2QYdtNyE
AEI4Gedvz6j/i1/FpVxmNWCeWP0/f9RsqIxoGdHtzi19BbQygH2QrTvl9oc//6o3ArfzBbT4TYL3
svkrp4echD7LbS6gn5AIOEwmPFmyQtTgBPRs07VbIT2uwzBbg76v/pmG768Px+y0PMVgFd/8zg7I
WGjJrttplXBWRqriTWmI+vLPP5FF8GOBzafYJs+ly0kCfYj3FizVRp5FTHzY7xpEkuQOmiW4DVvV
7rBJZYFa7M8f9yYN4fxxnFp0E109j8lbJaRdD6YVGx2yg8kBT5M13xjOvXr0KRDVFhdOmMp3OiYs
5V9+IPWHSaOVVJBfRPZhnKWjZ1X9DoEvXX3gtNwsxkJ//l3LzfjhnHL+XSYHFMYKOn6npYz7sc4R
pOOVWZ31OwtB4srStEvaa6cJ0eRa6eAi//xpv7uKP37am0cD1kBUR3be77xhNFYQA1fRQH6VTDMC
R3wfx0+Wff7zR5pvtJbnX0jDBqEspSUP5JutbCIwxxtHlp0RO+IELSC/j/Qe4Xs1e/u+inAE1Lfu
MHnrmnf8V4ep0FHSeeqjptoNiCI2vYKS0oyu/KKUpR0mB06KSRDRx7mhXiLQcG1k9E/+/L2N39x/
UKIuPnCQbb9qb702csyqYxklY4+eQ2hj5mKjtoeNptGUwqFKJrFH59ji6m1on4pnfWZ80Rue/AAL
gGmFjMjnYvD7zlp4S2BYLilDZ9p4rHAAJ2+RUqlPUiaw944chXhjhrEdEECiIMk7Heq4qP2kEibS
+uj4eVDlc3lUZdpcInYbAIYq9PyDXkIHRmpRTyVzdEjmASM5VIMm6M2oN5sPpjNrB/KSq6DGPhmM
LsiYGm/lfQ/G/L4bPDJfIaKvGwFZE4l0shqsxuNwp45d1rR4rYnIBJXDhC63L2KRfepHD9OZmCyS
5WemonhJsG12p8qnxqoTCulJ4DVUCBouyTvTH7SmpvgsgdmE9vSaTdZt54FJ8d0o23dO3J34k8vt
n+/6rwvEQ+1tkRIkhO+4bwGyiDHt3uY4u0tIyNSyPl4nnn4wEnXXzyE92p5e83/xiQAsweQtnZe3
UmS/UQOBbVm3a8LwgC5mkxvRF78Ul40F8R+W9eOfP+/XfZvuJbuNQW7AAuR/05tpI38ouTfdLp1y
CfNCjIeogu/lQeh554X76woC42Q6JrM5eqfWwh7+cW+LeuReI/E6zFQH+6LSauOAcMx95wL+9lPo
xlKmQL/nGv78KYUOybwbuYCa0zDoq11f20Pc967/fN3eNlFZdPwaD9sV1aIBBeLN52TQ+w2HgMkd
U3OQuUYLnBTYYOC0BKGSeOzulMWDz/mZZA7vATj6rhJZ8t629OZgfP4alDA4VAyAyTT4fv65dV2J
ORncdgdW1cVO7udb4gm6rRjh8K0tVIoHo1TExurVt7wa3dusS0fEevpwVcyzdSQGI3znDpi//U4w
Z3CjWT4165vXSiQ0TQtjq92VUV8e9Mbe+HoPir7s6g9hK/t1zGDw6cylymttOvXwdNcOrtnA90qI
aGX+LcfQ8CHzVDDP43NP6Mi6hg/7cSqJQ5RdYu/tKB6P5ZR/0PTuveLi9z+A4RTTEcx7ePd+vqih
0fikHo9cVLDCUePKbT+K6FPMLraWtZsSf2jo64J5CW+spjiS9vBCxOxd2zj+oZdhuFYI7TaEAvg3
1exWd56Yv812WB4tD5c3EP0JEkOq8a7ocgQhtXznlWAst/3nOoJJyQ+/4M3TSTQrX7iacCxoaXQM
Z7880ryHXaYRvZ0Ar7N6rHppqh+sChtZK0XxzlNg/fYpwM+6tIFMDDBvlrs3sZcQ49PuUi3uGFbn
nv2ZsuraFSD2cl9nSD2oB9c04i8ESnX9EK1T2EBBZqEVHqJ2a+ow3xr0qisYxegmXbOX65gP3GEK
TIm2joxvU2kYbJXuRxd+gK2nxMho/oP00mZvDLZ+qdlGvp+r6gUYxUdn4oMQiRHqQFrMe16ZX0s3
YLG6gbMTDpN+Bj/9uL3h9HSzEFrGrk7zhzLcuQPSF23W4xX+fuudOvE32zaOFZuTp3D5g9+Kzdo8
c3B4G+3ujPcmjYu3NmJaQRDKO5+0nLjePEl80pKlxowLB9ObxVyHUS/d0OZJaqK7zLCihxQVKLKQ
idOEPeF2QIyhEUCLROSdR+g3b19sWEB/LYsXE4X3z8uwi5LaDFO93fXu9EQU2LVy61tdhK+5233m
yOsE7+zpy6r45bfaGIEMkwM35tyfPxDBbQvrjkeWY3hJk4+6ZwqtYCpxzFrD/I0IjLsqyVUQTZLi
RkBxGNqoWeTn7/z03z5MNm4obFHk7r19LSfIA+x4YP2OMJ8DXcJoE2QYkZ6KAtmO09c///LfvDQd
ncoRFhFn71/aq6Bis6joFTd5asCASCNcz70Xv3NGfDsIWl5WjGCopfD18+PecknT1ogqQ8h2xxm5
WSNVjoOhTH14Lp52GFtkfNEgwBpONc7SEJkn3YB8A5P7Yp6BHP75N79NTDt/G+oRfi6VM3jBN3e7
Q4tqWqXe7CZDxJ+l22j2Cvlzd2oTw6bT6lSOs656/oCVNoF1WQ1OndvImiXxqEXtEj06atN4NcQW
UAeTJqCxtiO7/frn7/mbpb6MmhndLd2fXxagBPnSSU/UO4KnmxufVjuKUje8SJuOFv/fQ4Dr7w/6
j32eX9sU3B7OybQphAtE480FGafenuM24/ZAR9sQB0cKRzMT6D5FoHkNgKVtUe5it1vSYXv9nY3m
N78TYI4Dr3gBRGO0/3nxxZqXTDZ+gR0M92aLjmLYiJYAY04NyT//KPQPwuVq0vBDpvbzRyWp0cqa
eJxdN4fFK6RR92Yu46IB5qO/d/t+s4lx+2iLUCISy/e2U2HOYZRWPbcP6UIUhHjzPxZRjbZIb8mS
UwUzwSqe3tk+fnMtz6MbwZyfNI23goko0ktsWna9I28I2pIN0TFJCxM1GMLJdx4a+zcveioNHKmu
j5yAHevnq+llouqj2eDGCdRmW2eaOgIiYzHOAWFKJeKvpjUDh5o8X9fWMOJq6JpebWblWsVN4dk8
SoBGZ/+AJzK/N+WA0a0pM69HIoTGaAWaNH6pRlu7QthoYyOJczROLUJEjPz8JGvtLk69wB9sggxG
pmPTBY1+f5dg2cEBIpo4ZcAa45XsQUkHuVC2uU2NQjkby5ex+YiEMCm+OSnNEoY9nGDiCxU3CDqa
JGviT21eGdOifCQfm1CvQmwAFRrHYibGZtf22dB+sAsoKFeiw+5147To9rb8f20kMalpMzhVggyO
oCRRKrry3NJ2A9wrVbrt7Tr/OADcDo9NqVV7oyEnYDVFjdms/Di5L1qApuTvkMt4cCN00GuvrxDy
Tpjuok0hyba7TAeOkxDQIAPnOyRsmMVQeE4qwPkZ6hcFWG+dvgPa/kAW9lJcJfDqXlziiKaVG3Zq
PXtwVj4iftLcHYlO6XQ9YnH7WCai6TaTVvvurQ6uPdr00xD1B4pYta095SdQeSKSCIWM5nndIgre
lcDYqk0eLu0/XUNpgrbL9j6lMSHfaNEra92KeMCTL6UNUqi/oc+77QdbPoRkJTzmmqffdqVDamOR
qj0a63wRl536fNoS3L1ViJxvQ5cmqoiJViMrbYcqfgwyP2OQ3w9HFEkjQ732Jc0csbJ7E9lKSgIz
UWlfBfkrG0bsMHJE4+4cTAOEeifOTvhzhWFHALMGK3HRCqk+ux1yM9GTnFC6w8tcOyBvLfIIBzUh
Pc7vsWpvHM2pr22/aDaGXibXmTXO615PjAuvyOMrAg/zHaeFZEWm+r0CWr+zNeMmSdB1IYcIDyhv
MmiXWU9RAfgg5x0VtK0732S5wuoqoE7Pk83/ZKeM7pIaBa5Ypcxg1rN6ozoUq2kckhzhZsXFaMUB
KnfvGkPuLSFkamOMXryFTTSvJ3gGQWhO5m6mdL0No1w+g5bSL8vYhdbW1U6g9K55xe5ZrrWOuFKm
efkO8oS9RLHMq0W/d7D0xDxgvIDdoIajSW5vYkuDlPnpsSDu7LFMwr1ri49JPz0SOYd2Qvdp1PXh
Y+FoUcMKLLzD0LvldtBQE4Hxu8t8b1FPonN3osqDH4aaFHsPqY+pPwcx54bbpNGG6xop623bo6sY
rfayw4aNEJ+UvEkrv7X1KPee1SX7pC1IlCy84VW0Xb+aknGmw5UNuBQntMT48iyO5qbekGVXJX53
l1VejHCch+ehwNWvArfmHMGrnE0iRV7xBPQj+1CPPGXpBKjNy4yD3pOwo1VdhTtu9i74C6wBLIhN
iGtqai+9aYzG9mmKG7etkWOGYkRO1ZrNk2ZYWwwCpDsiuxrlztXM6oty0QvvrSw3+6DwGheVfYWg
51LTHIhUmes1+LGmwdaOtGf1liZtTZxew5VadVmZB7NXDHcxXf1rM0/Nu7Aos+QwpsTV2+RYfjBG
nHKwIUdyhNCd4npt9c9Ybqkn6e9KzNp6foHBq/mCai5ywG9F5OviGLQAt7QYNoYsfPVp7vdr3s0F
h++F7jhPnvrEnKl4beQioZ6K1ngmWLAJOKLZJ7805RNJh2NAsN+066iX7rxJpE9Dy58zMcAluBHl
2Vxxnk5UKQ6mQIZKF24hsCxW9W7oeRIgk9WPMXmlXxCGZ9tMafWjW5vJPoXhiihWIbdOJr19sCuC
DwGljGiHQxtTdj+3LI6zkjbTkZpGDir1lHLvQMAfhmlayBtOpX6zxYcyFPtCkvS76oBW3y9uEyIl
7QQnrR8tBKhKF3jYCkaDB1nG+fIMauMx8tP4o17E+apym55QVC6ndg8/i5/oLonZF/hR+ap4Ae8H
U/XjVRQiHE08hHWVji2kgrF4KWLBn2phVzp7PIbORGRNeVcfHRnHp3REPkrrztzQOLNPUcNS3ZRV
wZC/R0k8VkoUO5QT0QnT+eCupR3bJxYR0syQu0sTfvEl+uilARR+bnD63Ii5Me7ahOudkPywmwnj
23kxF1VDA3Gh8WjeSLuRn+3lhLkunVkOQVajg+XKJntbIRd3NAKnjQbxogSmeTkPLcL/STaPQ8x1
nV0Xr4YRAfOZ+5jLSogecujFv9X7XfvVH1v7JOZaI8yo8qOTSmy07KODJuErmZwCCI00RwtRosX8
fbo0eC0jI/CRB2k4lWFrl4szx+v7xdpW6ci7jck+JXYVfsJnH31w7L56dmAFBx25S4t5m5iY1eBR
2tk9hLuo83DRNTqmPK3HSUUSz174yKQ9DR17GWEJxLKGplTXolMPrAYtiGdT/5eIXU7CqvNDky2J
mh2pCOSIZwhmscnwL5y971E0IphIZ8a1K/y0WJ08DDbTRNPacwfMGhHZQ2E4Yf1ouuUp72PZM3Mx
7Y9JgWwZPRgWirHiS+a2nt16XSNfrDTGo+XPNQAFfPKnyUEnsWpF2Tzm9ayuPafFgbN4KJLldptN
6F3aoAxv68VMgKhu2vpgT7ABaTAZRMtV88hFutYjbXrV5wq3giIBE8iSF94S2QnxQI8xyFgjf2I1
Z7cU0urT2SM1j0STHueGlvhGK4AmuJI23zrscYet6Le0Ddkj2lgCD6igrKK8Jagl0dBdi5gDxkr2
LToUctewqMQ9T9Ks1Q1bryN40tiz4lOepZWBD3KurjUrpYk7TPlCl2jRgR9wuaKU99vutYJFhf5c
L9J1XYz1q4Y99P7sYBmQXXwD1UqeNEuvvmG3mF8rM5XN2jHJmsDpa/ffTI/0Xe4ZuCpNSi6Lw5u8
3emgNJoVYkrjbjZz7dbvdHYz1xm+KenVN5iVaPzXuP079PZPKg3rG6PzohNuaKTbPjzHpPWICm7j
JRLRY32XWtQ91KCa9JtGwzAycHwqbNQ6FRfPs9wrzsThliSHhk0M9RN9087qGQhb3vPcet2HsJDR
bsjzYS+cglvDa/PSgt/Zr2w3Sq4d0cot+entp0ZC3V9IeV1U8bdaKWUQDtL6bPuRvRWSzFUpCMEy
LQU3arCcnYHjZ8VEU8C2b1iHnVVMt0bRqGuKkBEmRRrem3kk1rlWfex8cTWQ/MEsUsdP1zVNMBIJ
/QHX5lHvYzJ7CtnwsZlz0kcyVWPSKHeONWPGhMV9pRxNnkp8mB+dkDg3cgXgd3dJMeP8ZdhYQ0w7
2El3HKaJyDPW5hU5cs1lGbkllFCkkZT6lIA+4z9aqC++TVxv5pbqNqsG6+uQi2Od6AZbmsf/WLj4
S5RBa9WJC/A14oF6G8u3rqrP/rjMmapuG9NZPmBXcZmWYcsl7KSaHjw1Rrc69o2tq+TeqfI6wO+D
+zABpeuN8wv9v+IpK+Bq8c7hIpmaiNjoOeGs3WkS8TrNsvaQabq1GkJNP2WFgHrZ9wy+4A0EVKjj
NWhkfWelafuxrzWHrc6PbvuWD+nt0L3uiRjFtWUhnHRD8eInvnNPcHROKJt7r2CfYCBc3ALgJOnE
LQyrKhnjK1gu4boyzEMIMe1zrIfjdvA0fdfByAy8pLeCEZAM3d64W40ZrcJompwLigvxkAp7V9qq
2rKc2ICrlNNp5ADL8nPffx2AsTwoKYwPfuHPqBYKcSdjlUKU8MXWZu+6KMI2vzds172ZBu6SPbSq
3rrUhauma6JNpJT8NjNqglEQdckHQifCjwkJCcni75Zsa3IiT69IWyKB0oaga5ygMwiz3nUo6EWU
vhCuCC0WvXCX1Xm6soUGRy1VN5gLHzoAHluW4pbwUVi1TPUoyNz+QyHs8BOxrpQZglwptkBQ2F6X
3Hp6MwdZ8f/snUlz3Mi177/Ki7eHA5mYF29Tc3EokkWKIrVBUCKFeUrM+PT3l9Wy3dLt1wrf9bUj
uttukQUUEpnnnP9k+dftjIdaSNBc7KCsySzl3BW1U1XrGKsDQIt8Oc5zNdy6jsGxU/iYUyCLLa/q
aEoJs7Zi3KtTEsexxyxpS3Mj5TUCQxtug7BLXwppu3tHMIBntFZxYi01g4Y+Mab7ILSam5lhtvYO
HhLSEFWaoS1LzDOKgyuVetMhHLr14LfZLU711XVbQvlt7SoHHCWUBt/O7oa577xy2/QgJiN4CcBM
6XPeVFXq2G9nWTc1wuvUK2OcQYZOvBC0rDDh976Kxf0I0Rh8oWLNv+RtUbFptcYnLyeT3Br6aNt5
ffEwu1QsOapZQO+gW5DSEUVDOTQdyHYekisD+wd7M3hm6x08PG04YzBeuTPwP8BgY/aqO4YqOKhK
P43wMsiJF2ONOumXAvHNg2z84sFNmCOvkpkNNCVs5z1vpfkV6X/83oTmom0s+IUNLIArB8bi42xj
pPeiqHh4bglNDiG1OaeE4VrHvCZkZYFo+cppyeRuyQXm/hisWscqTOQT9TGdaVbE9lWUTe17kVXd
e9u3DBHauS++Z4RWIX4j8u6L2abia3ZJxyWNcbrHaCb8IjNFE26HCcmC9RK274ZTQ5+UyxDgbpc5
5WPeTGwMbTyN1c6LuqHa2cHIRKOfYpZHLHsKnKokUT52ezLFg6gKvzjYeXmroJ5yRSBQkDkbuzRZ
RqU1d4jKWq6SlGToUpsSlpZHEzPxoWlil+11sjgdfaNZDiJej/WYRDuKV37zYvgEZdsjw89NbAez
sTdmXQJ0IKSk+k0Iw9PYtMsNRhAUrXno8pSMhaNunU99+GVQQwwxvU+0n3jkFN9l3/OpfWPNuPBB
Hv7yx5fpDEbUo460BI7FrQkzzRPLVK3oJ6o9dmrR2mrcljjVy1DAEnb5SOilLHGtSBn3wCxIaDCz
KTvUginQnWyciRgWZ3GuZ9VVj84Io4JHCN66HsOG+8s8h3mIqs0svW5hMQz7Yob4cYu18/B9cJnM
rnrp1PGta4j4KZsHuS978uYLEXgPmRc0GJnXvvmEkXQ7w6m3RXhn99z0QQ4my4OqnKtOypCH585T
aYD/VTodz0x4d5n9ExnHXIZvcTA6/vxSorlM6F6SFRcb3Mzt0H4kaZvm+6BXRJz3AaaBBI8jkFrn
Ju/PauRxIl9m/nc1Jq2BbVTVUdE5yMTTo+kqhigKbAWn7CZxiLksbRpuDmHOr3XRm2G2KrHiL9Zy
mZb8Lh4sE/UOJSQ5GJK4IbiBn0SKJ1aTV+YVmLQ6jEWPFzsKRNx8s+R5WeLx0ygRS17mgf/LQf0N
BxXIwgYn/te8ffPWvf2fP0IqTm/Fx//7v5/f2jihcqvKPxPvf/zYv4j3SHlASGhHkeVQdTFN/qHk
ETBKPdQzP/Q9/4yZIAAGeiamdRpQgTDGJfxgoNrOP8hkEaTGQMsDleTq/gPrwZ8nyrbW3ZH+pQVE
cN8umTE/kTeWaml6bLNc3PzzYlmXydQ/KCK13NU0Nu2XP30xfwFE/Iw5Xj4M8BrREhw4GGK/IjOR
g1m8B+f/ITYosUu7wlCuG4JnQrcUab6SgjyCQPoWDOC8/4OPxrBKwwLwqX7lLiRGJjBAEPbD5Qwp
A0VyOwUb0fJejwuZ5U8ccK2p9HkBcT75zTT9Z9xP3zmqImjGUCcQDIpfP15aCV4TaW494GebJegK
hq5Zmx02MFe0YXzcVDA1+Ptb/oWS9+NDWSqgjcAFAEA/D/DLugz7qA7kA8Hu8qm06F5kgap150FU
fK6xk7ixE7259Qhl232M18G7W7fwcw2X76EhfGRfexHz2tbQszU8Kuw3SAFtA1VrMMX1UON+tEn0
vGfV1gJ7mykvLes3gN7PSMsft+FCz4aiDI/b+pUK449MqSYPT1/RG6yVnkjMKe+zaee32CRe6qcp
+y089zNo9uNTyQ7E8F37P/8KtbiG6aWTo8RDKgaM3jg/mfmW8XczpfGcOQjPjl2LEyQsRo1zTEbX
3z+9//5iYi+KitNziVnHH+iXhzcEgSaMTuKBYfR0TvQLMwd01dHQiNPff9QvnKfLvZIZxZvlg2h5
/y1vFGelrjTNXjzY1ARno44xZhoSARsgtKz2fcps+20wXf126jKg9hDRY2kHCzLNYuM3j/uvbhxG
JrslsTcQdX65cWkbVdCYofnQdw0vie2FeXUjuwK/FgLygv/BS+IRlcV7yX89pIw/vyTo+2hhrUE+
qLajDJuR9mKCM1XXvWdW14ViZGINbXXdNAmrHGcvcSqGYIrWcyoYdYl0qa4Nd5jOEeUN0AVY+U2X
DcFWdO50H8cDcEM5p7qEIAd9vApis893v3mAf7G9eNSHOIVzVIDW/cIWS/MIHfIciIcQXkWzWzyl
Dpd1M3VF/aoUzWHuj2y5M19g4ZMeHiHax+V0xl2c/E8q+iSziVpYxoVSVYTM1HxlTue/v86/ukzk
ZziaY1MJAeuXyzQm2Q8uHj4PVMV8IZevGdMWnElNzBSbXP1uZctfF5ML21JHTiIIcKDS/vqJRRfJ
1Mzm9mGsrera6QrnLQwm/RcrpScHG7hHZ0T4WJiEodriSwWONo5zANqRUahb5dy9W9XASsdmdE8g
CDMjZpk3tl4Tl6+o5dSAf58g2mgHr7qehaXH/BgOSI8bWua++k2IJnfAovw3oQU5MHfCc7ZYuRIQ
8FfCxYJ9o9eAFD5U/NQ6qOdFbVLPSO8aK5+7Q4nr0khvOKBuk46R4/s+FGG8C+IooZPld5tYFtTE
mqQIP8yi83b4tCEcjxk3YvIgIui7Bi6My8a0liBCPToan+iHIjgroEdqNUZz7KyZrsZEJkmTNyNt
x37LEQBsmKWY22GDXj70ZRcTQVOkN7Lwq9OQhl6z8StFtiiooPEiML+5E9Wcf8NtDQCXOoC57rzQ
G87TEL/PZBtiFzXH5SbpOL+vzMApLIzP0vqeQWZV4M8JxgrUTqoCxgp+g/msZ9TPfYn9An6znvcY
ELqq3RZR4hKuODTDqnAiheWJG8zMDTvpfyXMUfnrsmi7DBkY04lVg/GBOspmToxjiHDgRkaMc1eM
4a40DfZxHgfoZp6tJ+9kCQt7hRN+6aybVmYx/XlU17grFLlaTwEEn42fjsFzFPccu6TvXHtzzyuH
jWmAlVg8RltKg2DriQ5zuaJynLcWCDFZlz67DSUgG/FQcwq09NMRo6OWtjO0CBwl8jsHRhZp7t3g
pZD1nMwihplOxEyPUeQVNlbpfMtstbkxJvhRu2iucJpe1cnkH+0oiU9DFnTffLIBqlUkY3NvJqna
BFYRnZS01U4RaV81hGqP2Nu8iBarKjnA34R8Ib/OgGRrJ6ERIiAs3ElwuC8FDLwXdC+YfwB1vLNQ
po+oD1O6qTgqN2bP41nH8CX2NNzYEQqPkJkiKkzUz+SnTngoGAZpA7TvNnq99eQkUf1kOH6SXQ+A
m5l9VZZkvD55CP3MgAWQz5W3KTw9wVl1MwwYPCzhToSSvws50jCSHp7QMTKJMBiwb4D7gvrFwCjF
4nKztFSbGaDJ3xmmLn4WZzpXWaanHETFX5u4iFns9ob91vgjPqptPtbzqkCl+WkyWp7YHHYcCvNM
sz144BkrDHgTSAqsShAGhB/A6Q2/IxAevoDwBgD18f1jMpJWxhrbIh8YhJ5Vh5bx6LWnrUrs6KH3
/KUjQ9C130JnHDG1N6lXu1zHzRaj8zbB/3weJT1qu+BB5Pb4NhlkL914dhFsCxU3jKV4Q31SsSx+
PUb2XBwdR3VNWRc+9y6SMvx+q2v0lvKpIU+dP4TH0E3XDezPbGchzlPYW0UbITQQEtH/t/AMKHyk
afJ/4HgLawEUxX5TkpN61eWkQZLsLtJTT7AisUzQSG8iDPNuAoaqZ4QOHOqJwY562SOp4bBidjhE
vbRRh7Dy2/cm0F9loHAjatuef7xcbdH3zFmsxp7utemmZKKazPfNpRbJcjgqdxjYqkMUDeLULzyR
gYn49SxH8TSQorGVMp3PfUK7YWlEFdSQ47mbMMaadfU4S757UczcFK8kn5TFgDqYSU5n8nHb90HN
dbuKUqpPMxucNz/nFEXWjFFjzmnbBFHzmjJ4tNZT0s7nS6GwZE05YzGeu29SGzCnbc6jbbiYiakZ
vIVcG3BCkzxWjWGeQGYMLI5C8wTKmVU3LCOe3QX/LauGg6et1KENuSIsOCnCqwoalSOy+jVk/JYQ
LiQNtQ1hfL6RB6unGJU7V8emVVz5wM8AUFTjPN00hmLEcClwILkE8C1ShmWX5sfSpc+cBikOzw5K
jTWmveQZebXb27ejM/s3ceHYb7FnqXzPscMF1nJKF0KKyjHd1oUIv+ZGzIeXl1dIhE467YZJ6TKI
k6fbqPHBt0eSPYOWZ1QDaMmO/xlEggMYYyL2tkq3KlkMyCBm4Bq2Aevo8qRPZWt5R26nusbH1T0n
c48fsRFjh4wXUMIsZOTE7fTydMpcnMwo5WTKUF+pbTpQrtp+Ove3Ndk88aGIQ3pA4ZasWvBEH20E
/7nBC5QF3NkZ31lHMMvzNMAATzMf7mLXmJglSc0ZzOPceYuLke90qonW+2MTyPAZPDN35lvJM2zW
3dmxjg2Om9e1qz++GDsMVfVbn3eifk1FVV0zKFQHyv3mADDEU00kPjc5BznfA9521wH8i2cDYsk9
3mrum/I73lczL4qtTBaDmb3DG68UXvvkCrIS7Qka3PWYsAU4ghp9K1TO5oMjbNTeB1Mox6Nf6QeE
wTlbk6zC5lAoETxDp5iwAacdJZzK7SiKQNKogeQYFY+zmTqglZhuSQMD+jWOnRxNky+eRkvxJVty
FnjbQpRmhp0E9St+N7zojRiZh+s75CSiRsb+OFopRL37S8OLpU79ugiLVzSiRU3Yus0VJgDiiWmk
eKpQuFjbTldpiz/ynC4V4+XYnBeTFVXn2EhBW+LeF6cmgVn6MA16WWwUCOT58q2BnU3BJh1FvmyU
vpyLdViWgL/UPSZd6zKOghtyXHitlhlumGct1q4nJ4yEszZiO0oyXi60tOyOcasIKYtZ8j0LPJzO
RKa4Fii+R0pPQoLY1iG32TlPatQo+2hny9pQpvOGZzarhj8dPJcTKG2e9/YxayrtaRdgCXlVDC4/
nfexbB6FKUeWSJjxRS/6cEnSy943ydTYV5Fgk6cUiXRLbgOBajPH6vryBfyxF+nGfQBdf71srCry
OHEuazeMJo41pPy4mZK+9VVxDD1c1qct+3CfMgjYk4drZ7de77NEfLNnQTnZcBVHs/J/LIhiLPzv
tcd8dl2oQR3ATwIYJrXzBh9DPF1WhYvXwbLKZChOLqP3vWhKcUovo9SshUq2dstSlKvOKdmJ5gX1
FwwQhhDKSZNllegbMrCMr1eJYkCrbOh28HlDmhN6T3ECWVUHlpx4cmIXcR6JK7xZXthwwkC9tkgP
ZNEQSMhubyXiDj3R8kCnzqI2sWdFszbyqlx2QDvrsmJTkQBRoGRDVoEZHrTpleWNvDb6AIIIE1nQ
z2p8UtoV5gNDiJmwDwxc9vpq077jNbMaHKF2UT1PZzj0yl2BawTPAWFvz3ho8/Ah2aG9YzTbGZvU
VpNYKWqh5RHbzmQ6IJQo4zvkRuQwEDssTsocuAoHUAvELqlY7aYIF/XUOT1FSGRkwbM5QjAp60nf
rxcAPvbSewSHKO5QKxNGHBooy9L24OSNufKAqa4x7E+/R7hcoLpoEBe4tNTroSKRyZo4HoG4OJE0
wWrdMfIMqFBm9zlLZ75nfG+hsDjjQiZBn0J5KpGCrKKmQqeLq8wxqcnEs3B3EGtOzeJIZz8dSlGX
8zqv8bsNsSb7Hky5tp+VE5shRSbgWis7fwsnqTOvGr35X6UQxJd1EMfUVPAj6WDyEqfGSjKFYcrW
ox8NR+ORgAUeD/mO/LUJBF+S5UCYYAJIIBXJ1AdL6c2/GahxCl3SNbEPogxGiTC8MdZ9M/LO6EY5
w2YOml3AqxrEDTRNU3F54eIxbJIV9YEdjlzpdDlMwph9eyEXNvuoqDE5XYI62Kb6DBcGmDqRqqyg
S2MYmVFZXzHrr9nyOva0yp3gdzNPUwcvxkE6IerqONaBOEWTEzwLMId3uRCw4Vqkp9KD8VxLV3J+
qpTDrS8idqvFBe0iwTYnX4otEoa/xsU4MLdzAxogc11v1iFMgkJh3bgJa8ZX42TjaaqB/6pj31MN
r1CXs3iS0CAhuHJ28Gq47mWpOIHo7eIDXrTJhz2A8V07dc8b1xlgTE6G7ST0T11hNMxINDRXYPFh
H7HQML0jDdvUHVr6mxVEHqVZp/0O1EL69Cqd82ZmCwwVX1TX3DG7EnMevhIvxTJ9FYaSTqJwOVjc
YXZhv5nuZoG5d6wBjk5q0d6Yf5TMDkFWbiQnyG5lYeL0VMBedOdO7vjk+CmGhvxpit3lJrbn5FPd
oz5ueUPYnel2iGiAlQfG7xYm0ZV2bdwrgMhpreVU/tbCXvEgI8f4hhOx854G/fKRU1V+r/Kppdwe
cyJh3FleixqmJakC1R578PFFi8vVpg9DIs/w5U6bLcS85sqxpuSUeNgCR6mbfC7qLnoENSOVoC/y
eZO1jrmffWc+BVYdfoqJ7/wG643f5IBKtVTKMFfvAdjpWHNoE2JNJCgpaioY3NfLdOZ/EZ7fIDxY
H5lM/f7/CM/+o1LRzz5tP37m3y4jzLQwDAFmZZZoW8xrfsA7vvMPBriQT7E5ujhS8K/+adTGsOoH
pmOZ/0DSauMmgggdzaf8TyAdLN1+Gg85jF0YXvDLAHVsm45KT8X+5IoWyAor/MrPD5YfvY6Yi6+6
FqQZGdhLabiPajAOZE41L34hXiCtiF2Py2UL+bfTLGB4W/JojcV8bDVHuBSjcww0bxiLtXqDZVG5
BrRR3+cQn4tKM41p2pDkafYxokHzbFwYyZqbbOWcJLWfJLvQKKdtH3lncgn9+3FJCLvrCkwmiYKA
FapJgU2zbQ0pN7hAqStoy+tmKO7mVjqrWnOmU8jTSrOoHVqgTeWN3lrMY/8kkwDbJc27jjUD24aK
PWpOdttFn127SKhf4Wt7mrndaQ53qtncpuZ1C7eFTqu53pC1tjbkb2xHV71mg8+aF15AEK96QeY3
6oaN0uzxRPPIM80otzS3vM4bSCCab64085xMonY92vBgSfp77zQ/nSM5hEoIZx3aypsEctJE7Cu4
AMWO3DusZDXXHa/waMtTXY2aB1807a6DGA+uchdqpnxvNNOhtmBdT14lzoFm1HeaW4/yelcE4wNR
g8U5Y7B/k+S+6lcpmsUM6l5+q2orGrfSH8CR8Wh96eEEYizOuMBqjW5tWcyk8WIa1GNjGeEjYabO
tZ3NsBaMwqGb7twGXLlOTqrKx5cwYNhAR09XVFgZIS8VjvNuBa85Hthd25Fzq0ER+uCNuCiVuUUF
k8vBORBkUr96SQoHgbFk/lxmJUnnOVoOkxPrZOMkDqdD6OIgMmt1QzGovfUtLN2TQPYCRiEM0VbW
5ZVqGXKvlsosrxpjgYfU+KXXrJKcSIyVqIqERG3aqhlJy06OXvrFk/SKmymMyi1Sq/A5lZA0fCss
tlORVI8iq8TJcimObI3xQ2hKv9R1SMHGvAZSQsKRtStSg8mLbkRmZ0hOfZfhKNhH9rRtE2ZGy1hQ
cOCwitc0Bh8b1fhMi0wrf54hMn9VVGxHw7L6dB3hD3nA8oI/Q9V0zxdorJEeUL6QpkYbVDnYOHT8
Siqdud+YZTTfy4il6ZBKkh2cduDmmzmaz16uBzBFRVuFQxAcIswQs7U18xxqP+cXCiximm2uknI7
D8W8uWABMe/fPnEBgzC5gNNIchA1MaBs/lyLMjnNOGK9J80y7EVv1R9E+1AK9VV9d7myFP8VcmB6
XW5hPu89RAv4D0QGx11bYew/UPszGze64nuuqTilU/ZPbWrjZ+7OqO4SfeMXKiKatO6TNxX8wTxM
5dEZ2EQ2GLHMWzNotRuZnX65rDQGq3zagqFBvxIzjLRkYvLi20F1R+0Ek4VhDSx2KLTPEHLk57HU
SpWusL0HsoTsY6XbNAFrZ6MUvDMGuZ59qAceKjPe8orMdZ6aJPeDTKCie+8I8ziVZuXekSQwXzeh
kOfQTP3z2BjFNmZFZqslcMIvgYQJPTpFDIE4nPhFg88nejPlVx7FxiPI+rBfXHhNTQTfriLAcnt5
WrRP1WMSzQwJ2iwsu7XAZwPDd765GdTkRjStHZIwT54r8gl+PdZ00drLJ1Y9JmW4QfqvPqTutWwq
IJx0ObUlc9xmvgfJfxoa2FiDU30pE38VEbaxDvxb2fUwN6P7eDCxd+4YfqTquzMG14FVMbOD81RK
7zy1FvyweN+5y3OkWnfjmJN/4yLhQB7gbOnbVrKeq7Uvy+rccY71K2nhnCMS4Z7ht3xqRaprN/bw
TPgRft+1tRYe/hZJMZ8SuvBxSjcYkF9ZpRfeU1FOd4KedudXEXqcEXP7vVtl6coPBns71xm0WfR8
h2EgyrTzsybeGEq8l9G0Hhr50ZRMZxu8bK/TpW+3pSzE0ZLONyVAQHzngWMyX2PSZ8E8isJXI5Iv
reGTEoWZ0FK2xS4f8g69c4nVS0FYD9RIbcENRrCuXbd67IGy1qTkLu/F4EDIARnSOspd3U2PZdrX
V4GXQfXs4rXjLDxgQid2U9MzWBnnDNcu8cmdKZmhJR2zaS6OJnPkA4a7RHv4PdkAzA8Iou0hHC71
zqiq18bsGeaXlXkzZ6Z3pVj46FNckI0hfDVF0TAobwDr5+/WXJ/rxPc+EgnL2R4b84sHLXsjsuyp
o4d8m2fD2vKuY4+O4++axAUkJkgZruwgtAFJloX9wBryQ5QuFvQk37TXC/zhIHxsivY9nrtwqxu8
E3K5EZsuXMI7zL+lOa/KRfXbZSBZsBLuKWfPf2BZgZ25obi3ltnejrIvMYTtjfTAYLne2K0xrFoh
64/Wkdl2IYyNoXO2sur6rSe7eNP4LRMaMbyYIdbuZsVpH8AWw+qj/waU+NrEFoboTfhpFEzeLYsY
JgcG+7qy0Q4q2/kU4m/DRIHE4RSqzgtTvnbNrHDTgazfjD6UR4oE/51Uk+HswaL7RHyJriEIeUYz
5s5XYxfiXTrI0J/QKqefUg+LQru1i4+W+N0PGNH5VaAKT4/ow001GJBOXXvcZS0/GxU0X0tnnrww
rR4wJERIHjdUVhoFGWvln+qhJnHLnPMvoxTWye1wA3OosFbKTZYN4zksmoouQR8Qlw4YDoqqYOVO
aXQzIIYRVy1zFAK22sU9EXHT73wG6iavRPQMyGzcuQL4KqPfbniIlbkOVWRshyztbzxHYaYuSmLo
q8ap5cpeRo7Bqa9OlS+8Kxsl5zZsnGIbtk34HODGcYZBnKTbpW1K5jNBaZy6yHeOVArZXphVs02m
PFyTDVzZ21hN38tCyjsBNPhpVMl4qGOv+ew2OJuTS1FuIP7BXvTGFg/Jmn7PW45ZQRWGTsC4Mis2
sFrI5lDhRLCuVZei5plDlE3C57JyhK52/hW8iyhJFY53GbSMWxWWinD7Su0biYC/H7NwTc1wO6G7
xKJkH0lc+3N/eU2VqupNWg5IFMdG0TBnYoUter4rbJP0OpXZewhQtxMJIHulSSwMwaydk7fD/ZJR
45Hr1nJyDf7dPKLnbMA4UaRlxqvVBSdR1u3H6CUUIHSeu6B2ox3hdGT9WQ0NvyIPqydBDrzFklql
cuYEre5Kj8lhHfQzZKPRebbqaT+NU7RpreVxhgVzmgiAWiEhSvd4YOwJZW3XuVDbaqiij2aa91bH
kTeQK7AdmApuJ3OarpJBtOs+bcPj2IQ3SdSc7dBxNl7op8d5cafrMPXjAPGKEWc6T2w5Bxm7q7j2
aOAT7eQW56LeZ8WYRg+WmzYbXuF2jDSoa2OTGhhGxJEQNcTWZYEZzVBBx3yejhP170LaQo/2Io2K
zNnObTpsJr+WELnh6KRQJoa+rzaFm6Cub8kDmr/FmY/WZOVaYSUPnIafYUs+GGYw7Ioy0KTefnwM
vWXZinlpT1HqVKSZO/Yt1NGXZrGS7VK75ySojHW6dGR2o0vbkEEJ+u3Vztd2Ig4hleXyVbSiux0L
z9glYvhQEelZoyOHW38YrA3x7/aVPdH9QM5kMD7mkjwNtzlHlCpbGUKqnw3vC5SZEECoT99G3GNp
x5Vtcd6HV4WRuMBBJg6nDYGOw5AwQIBBylFZ5zh22bAF/OApMLqJqYl9vVgU2gyD3j1JWLjdFOpE
ytM6r+xvcS5bVBdJcDWTwVVuU6GLfgau3VcTOvi7lznpzTiWLXV8ax8Y2iHfTINHE9s0kG1qGQM1
ZJcdF8LEWooEe4bYpYyHGkrf51yZ+W0bF99oQKOC3Lymh6ZKqsX1XIbVJinjb3jEcuobTfHuDa7e
s8Ku2/VlMuyUMNUr5YsLfAa00YUB02ZLnK0kde6sFCteINbcujLtoNl488Kb1pfjs9uP/XVTkzyx
5ANodDN3+V1WNjoDybfir0h+TeDeNJl2hYg5CsxAoSmiNayoA/LAf8fTm41jiBxxRk3if+4U2Oli
FfhSx8jsEGBYNmBZ6QXlujfH8qnUgk1HSzdDLeKEwThtfbEcSVgsSXGjyaq06DPR8k9wdrEBUEIT
6pRxgmwoHSuG2xVLKKIoSS/60VJLSaFla+pb90NlSvWsRafTHxJUS8tR4QEPBPEiUfW0WBWgqz5M
6FczLWRttaQV3cRNpvqCPgu5K1On4T6Ku5psYMSwmZbFLlog62iprNKi2VTLZ7mwTzR+4BFBXO2M
FJFtftHb/u/Up+ySbv7d1MdCzvN3U5/D2/iWJH/m9Io/fuTH0Ec4Nm76GPB7UOAh8rsQ1f7J6XXN
fyD/0Nxc33b4I7B3fwx9pPwH3pYQLLFjwS4FZ5Z/DYEExv3wV7T5Jf4V/Jv/jNj7C0cIZMxnEsRl
uXBeIV39MgSCppIvqRPJx7attRBxKbCdHgTXuV50eFxtw12Jk5zQWA/0P44z40xxMe9LG7LhOk8I
asrbCRmwGebjxnDxbw6MmuIBfkJrmvweliO+CpAkkvtUTXW2MsA8jlWMhLVn5ru9yEilQdIIe/S4
uQhTKzlnuFBbyyGICPLSIYEf5WIsahXbo31ncBjfTWWe5JQ73fgWAKi8eeQYJ9RUfG3rONLUBJWp
ZUcHzHx1Jp6ql3H61kXjfG9kMFIB1+fXWS0KalSUeTTFS/cxqEjQv4DfRziePkSxi77PSKC3IEv5
pKc+2eZP6+Uv6M4XquKfaFr6EWjfE54qjGdfaPPhP8/hisW2UyNEbr0oKzg6Vu9sQQ6BhoJqgqxi
yabD6V8WwX3l1fKmHCW3Vrt+5ayTzKR7jNN56yGKOAZLP9wuoROfJJgIWbaZ8blsnPYczwwmnCRN
b2moobj4upOnpfb3UUzmUd9a1Z3vq0/wMjBXq8cb3Cbkk4wleSXBe9q4zde/v+ngF7ouaRWmpxcw
Lq4mzPVf3Z1qmEFRaNblo10V4avQTz+qKvECER7Oh2eqI+iROhbp2G3tmOpxVRjM5FtOk9upn8yv
dabDywJnnO6i0s6uxspyHsOZf2osKT9kXYlrEk7Guxjm9o0VNdO944fPDGMkRryMSrKSlHAXWOeQ
EEOxjw1l7DNEkZu5wvdiMQvWtNWZw7W5WO8E9N2MSgoAuNA5EKSqdSKYQyXTnG0nh5Q2kykD0pvX
vA7SK9uuxm9JXFm00db4rWa/Pnpzrg6qA/8O4XsCE/a7LhmnMy9ldiLghpcJzs8hs95N5CJoUEPl
thvwUefa50heJ3Qd/SYhnxjNOV4b5qKYUyRMZ7wSVHoqeUqrrkzS2yLWyjI/l59nDGc+/JwyArUY
vfrKcWAQoFASuzJu20Mw1cl13nXmbaipA34phlvAG25OWj1AcxMv6WHGQCVYL3Ykzwb8uru2E3yh
Ug+9FpLxRke/m0a2IA4Y28923DZfA9RfN7atgrXJpOw3RGTn5z0LQqgvAxeOt6XlDZJUgJ9fGJ02
H0aDZ5xjkgEfEN2W5J+3TNGmkcgzrw+gHOq1o6rlGw4IeJN0JI0S7DjH74T4TqfaJcWt6czms0dc
9waWhrlv/PoFFh5ha71bfCoafks2gCqv0sFCrMSzv6nIg1yZHQYBrRNNW7pTeZ5M+oOVN3Or8yVD
L0Ygy3Y17wY8p/SGWmX06HUntk5nyG3CRJ3fOeFWr7JqebgsW6KYgnWSuPOtahxxI+oqBEfyzRff
KNrPAUyNz1DLmxNDRECdAseGeEOnlXwtzWzfVMqApjMFfYyvX4+fCUC5t8382L/zzYZR2d+/uvIX
d0G+fjQl2nXOhfEOEqFf7T/hBmMjWgp9hVJc1a5B9+yJ1awa4zFdAu5ApJIuu2mNp5T0yhgb6Dqo
icEs42nvA1bRmvMOMhTKm/DKh8b2lg0uXjQBJVFEn6fCV8ZW3Iye+R6bpDd+w4P+qxuw9fEq0IpY
Hr4SP99AuWStEhhcnQlf6rYQYaZTU0fRrnFhDuAsxD4TNlBAHOmyxZSxY2xdgn/fgCGdazG6IZp5
ZWkyS/VmTZ64cUe0qbFEw71rcj98grAFFByXER3p33/5l/P434eFXvu4c9keQkoJWxIe98/XzgQ5
UYs9Oueqd1Dsj20bfmc1h/5BQQd7FguZZOnUTne5N5T7Droj0EZZuke/ToYrbHyS9chM8pg7IzpQ
rzGeOrdA5zvaHRVu05eEu7XJDe3HdD+S84BgsB3b7wPHBI8osb+24dgfzWXxcZ7R3gM9Difl3hs8
ta6JRlhNeuBJIkL4WULvOxg+6vAWK7//Yu9MmuPGrij9X3rdqMD8gEVvgJwzmSSTEilyg6BECePD
9DD/+v7Astu2utsV3jscZTuqihSZiQTePfec72wjQgy7QtF8WxfJ9Ao5ZNm34xBx9k7a7VKK0gs7
05x+GjG1cIEpbW1FU5rGluZWf2dV+XcD/VwlVtkENMnWx8JG8aKGtCXmyFMDB20aRr4Wf7QRts2t
m/M3e/Sz0zK15o3xCalcZpQfIhslHzr11rtMT6JXrrzhp13I9Q6yvjSZiE7A9Jc7m8IfDOiSO1+d
gs2kXi//olPgRgVP46bfhMyoPyc528TJdMxHkw7pVRjUbMZEIqAKt3ExXTOytuVfXAgcEnmn/+VK
8C2CXyuyz/k8Dv52bOBeLXs2xM2NqbwTtAfyAQs+783FOCGJgM0KaRvjFwCDEe84itXvLnAb1kDc
k7axVMdEa8QGX1xBdB6JDpKLnmL0IMMsgzgud1TRrR9XQ+jfZ8o3v3L7776bDPs/+1TY2sZ3HSnA
vHg4iUqOY3cDRZ1bScEg14Fd4hcprCIqdoWBCZdAt+wPHpPTZl5qcQRe8hW93YDfBSemCDUz3fuN
qz2ihMzAY3q9/wDXwi0yLyGCYS8+TMYClXWtTBPFWrmpr+8rmdfuRZEfdbScpcqE3w3H5fxiYCfZ
gIuwAn6eRNLpzQcCLwUXa2Yqyto9T/wAv4gLbBjyU0Vg8rD4xawhOSzNfkE2qu5oK7aJ+vZ58sxz
IH1WWgbycqlHyyN0L7MXin99thx548YH1vJrPtPibhCoBFuz5gvjRtHnesDBV3PSvYlHlZLupoVN
hHko6bst+xep8+vClw6Kas1Kq5H6uCDq+jVumsCQCz1X2faGVEn5JY47dYzA2thswjLre2JF8HNj
w63zs0aDAccff37EwFJp2wUt5rukaDHG2CVhPXFn10OtXIxL7Iz5aeZCQP4fWYRp9pygNgLF/Wbg
S/a4nvrlEctWxD6FjNOt5Wx56FafQaDUsvzCN+0dYWhouNEkpnkPYRfbcLuMW8oNfYwcbkqzIHTW
YGwx8cJP4JSJP4aCHd+h58upI31DYL/4JcR4Y3TGPudwbKUXFqwD0mEur0LI5MGUYgx5GKBiKH9e
Hj/vqP/1M/zVZMtDhIfH/9/PcPx4T6p/GWz//Iq/D7aG8Qe1bvzHsC3dZYz9x2BrCMZX8otUGTDY
MFL+bay117zqOuaYtCY6Np+w/zPW2gZ9dOTnGGvX+xnT8H9kblijsv9yd1y/AxA2KliIVZCl+S1E
lBtR0zsicq9kqrUjpZVTcy7hc0B+8gAGCfyN3Mwt1qh06xVP9C47/neitD8TeL1PtsgtJzQq6wtW
xeklJ4d0JoU2ka02PWAPdel6khua8quNxjaju4G2iBuWjOPYfNWpS9SCckgLS55zP1V7dlNZdhVU
trAM5IiwA59THmU0c/PLiGPI2Yg3pSxsHPSes4MyyFyMp+gxr/2uDTJ9jC4Fi5CL6s1uP7tDczL9
dvxgF/5my46dha/012KsxF6vqW1sZa6HqPYuwBz1jseNjyaYMtZngkaj8zIn00GvK3vHG6VdS8ZP
EDxi2CWko9oobH3O2G0ocHTJYeeoAgHLTMfsXksS82XAG26z9t1Awq9DlSb6bQZ7fuv6pqQCV38p
nNT/OjnTzIg+Wfva9F9IbLjbQZ/DyBrkI/Nuc7D71ry2UjLpsWYP9SxNL3KoxiNF6+mdrxXvftew
PASBunUgMp0bmfv7otKG7yoX0XGOHGuXl0bxc+172i6ZZ/xcD64Nt562Ovhm+rPvzXYLUWP65hje
WGKQxL3W1HRZNbLw3kyzBxstsoTXpnqRqXxpNP5oAgmwOZNxgDqsOVsO2tWWnI0InVrIMhBjycKs
YNtnBFbqyyexTMCQYYjUx/WK/NoMyt3BYoEkgbeCIjCzb3gIC0HZTDWIDXmRgU0Vo+aMNXka+8DN
jfhm50b+MM9quY/GRA+TxW4uiWVqLOf0yeFPsTABwxjd21nBcVlqVvo0uqq4OIAgLwlrgTsKBeDQ
J9H4MLZNuyuVmn50nl3QjapbXdjnWv3LVyrruefbxl6KbLywfKCb2SnVpYs8zCqTO8YfCbGr1Y/p
HKhZoTxw7muBkw2JMUg7oV+xsOiB2/pU+ralqdMd6g5+EHuqf7amGdo7lAgTulreoILqIt2YcTLs
hoRG9FyTWhZU0vTPg5QsqrvaBiDFrqLd+eN0SRt+KEEq6KSWWX2NUXxlMORm8qvClYL7vvApY6cv
sXW0D3dxgJknSZYRRIsB6bTaaAYTJfWhBVdtJzLdf8FqkQdDK851hJ2HBHXC6t3Rvw+uUexMttI/
8iZaOCTKgQfWkLh7HlhOwIJ4/OZXtoVaFAkSbV606zuYZWGZj/O5GjW7Cz0cVCf86GO9kRw6tzOI
0Qfh2NV2adCcXRfqejdZkBNBh9wKUEt7IiH9M6S2ChZkCfs1i3gYCj9Oz1oN8seRvidDz+dXciv2
CsxJvoI2PwJUa4d5ayxDxuIgmrfp6C1fh6mZgoGZbJcQbdwk/sxb0tnRXeKV7YPrNsQ0vfYLSpB7
863+0JbWcj+ihYfVJE5Oz8caz5Q5HdNIsrYa3YrUkKmBjzTUFHi1Nz/l5FHupBoQhMwme0t1ypg0
l7V0P7akBOY0iY6l7ounKWvM0GcZZk21fsdGheVwNT7GdtNe5qzOQm6epFZ63m4MLAlRutTiptD4
m9ga9ePSGB+4yNxrbTflEXSteZSqd4PUUCT4yprOad7kfUvHySZK6y+aqGdoqabVPbE+nH9KvSbR
pon5MGesisTcSCRAA38EJ8okNFIn34t+qjdpxI1cN5funCZYQAmc2LumLmOOhIN7p0+lhmWJG5FP
y8AmArf1alV6cpghrIbaVFCnYHcz7mzluK88BGnp9n3tp5E1GjiEhBSYa/e/skirrjYW4JtqEEVr
EPuccfT3eJHxtjGKYmNWw7D3BqUxOXFYf2Ws6C6tLG4Kv8+JxGIZWm1bnwFwdXg72W+Nk7c86Ebq
36ukzdcxK1q2duy2e2mzI2X34m1U7g2bXiT2z3j1LMAu+NHjEQlz7pm4Z/MxCVtgRpdEY8Nf1c74
UoNyDW2jXm508/gYbyr3Ffw3nw3LrQF1eiDk0ny6K5Ne44YVw9+iKPstLwZQSwRMr0ZUlvtFr4z3
UcY2DqLlK4uxKDTH2Tw4g1tL7PSR85SmxgRXb/GODJa3RTeOnB6YC1rLcIlEz7zBJRn7jUiHx7HO
4xdtcqCA97Slzm6ZPGRUIpaB1sTjsx67zcmnXfwUE7jwuING/oH7JnirTr8ooVm3Zekf+jiFLFZA
uYRFmIcO1x6qhClXnGbAR4KxxTcA3S1xcvQ97Zbji2IL3FaUqFpRHNpl7NFw6PZ0t3fFVlm9DHUv
uoCkyfcVMVhO4pmH2QEg2lgDZ+MDlex6yTwUd30WUDAPqtWLJOftltv3GI3vSarXe42g/HkZlPhh
iKL43qpauzqqfVSWdJ4A8n7VZ5uCHD9qWOmRZmo7bdl7vei3jSOGr0om/clx5XtGJuuYZLC6mzxd
G5Jwf/VLAeBz0mJ1StlQYlmM7ZuKy+phWfGXIEOdgfKHR+Bv5iuovvECigqhBtPS8GKkqXYolsG5
yDrNTmbq7Corg0JhQjJz7edJG+1Ah3C7TUsrCkQ8FF98L673PVzFe+BaRjipGt9/E/30sL+FeJOS
Pc4Ntons1A+KCiL81vZ4rp08/jb4CvyPGqpNvUBas11n+QUU+UsiyzI080w85RE/QmfkuBDhQQZu
Zt0N3FW3dWK8RYqFmKxsUJl1dSngsUOZmy5zZNhfiybH+gdRcmtr7bCnE8nfpVMevbX9PO3tKW3f
2L+xnPV7n725ORzFmOFCd9XbaHBf8XVJDpYlbL7uQ0ncvGu9gx9vpu5JeNly8n34yXlcnKfuLCrK
dcgXy+FqFzD6E0+HIKaL4mumueUTh6r8XDYej3rHYCBKx9zL7quqM/YUGNVXCHs76Vr13kNOvIN+
CSx6crR9ktlypydmfBFreKY1s/4Qsw/FgwLk9QGrxnRM7AJDkdeTTs0yB1/p+KbAFYRwSZ16z+J6
ua/xN4Y5lIpTtbTlzvHG6b33Ig8cRwMhM8qV6wR5ETdl4OLs2zjVMv0o86R+c2kH0TnmvsvYjzb8
IL9kL5tdxga+Cmfs5sdZ6QRHs1w7IAnmLvmcXGaBYeflXT2ZOA1z292Og0SMgJP3ATXQhG61jDzS
XMBGjr8aE/PsnnNv2KV6sRtBQu30qOYJOkbGaeE+gIOH02bCKuEQWZr+ywNfT4a3IEnWYdir3C7e
QvBuA44eLcHb/NGBq2vhnZgxNURqNbWacJV4q99ozYgPTPXRVpQ9OR0Mduizqlchbjy1aUYSV8Rh
I/GNPHjr74xerAxm/VHUPJACPHYZWN3O+DHVorgHAc4NYTALfI25uYvKBUz4kzdFfUaJ1uAl1Y+0
J7NlB/LPNPKU5ESTo8+ccjd5fvVlnAdeNXLM0xpo9j+zzVlL8pekc7HGnglMOhtwvrmg6ZZstNat
MelhTUzXn9lpn5+QM4Lzja+p3jSotbvZHOojFpmpDYw1hw08Mz31g9fcNTX/dqXc6tXik2flc7vj
bA5bnWjhpsf8sE9p9yLlXU8lOppu3FVrCBwo0MInGKP6FRLOlwWgbNDg5/ywi1pFBHyX+ky/17jF
49beWtlYQebKFt9kLR/1MUlIq1Qz9qJk7A920VETjeiz4dRnbiqbI4w5qlVzSvOD2xb2FgqdedZL
BQdv5Sakjk7wEtlw47izRNHR+PP0vK4oNxvsFwXwDO0rrbFeKUMjmK8Xeajzyt0QaliTFd38OjrR
fZx5vKx64U9P2EPjzZDFaRQC2NHv5jo2w6xTatNaRH8C5XhuD/msRkXnKYy9G9ceiDzEMyg2pTxN
Msu+xF7RvXYcPZmZ1HCdyyV+ks6idt76Ykcyyfb0bjN9OaZMrlo0jC34twlxsq/145yp5imKJHlX
GsOzfY9l9Ig4Xd662AeZ3RjNc5u0bMVgj34rq/g5Qly72CaaF+ZEXTtY5rq1LX28Dv2gnwmv1E9w
eFW5iaK6FHdg5+zHMmnexUJYmG3EREm5luhL6MHnTsN0ie2RFyRy7/NiLl4yHYMmGIJozw7GAF/S
G+aeUaj7ijVh/BigWIe1aUNJl3G94Scqd1mLLWKDvr/gU+sc3GoNJNOuQfPd0EY3fl849XHi1xwS
39W0hrG9nEJ1v0hvbQz5U28WJGN4reZWeZqxNQVlAHjE02OyLNmFJpT0KOFcXCETMsBSxLxxde17
4VXL1yTGwxS4hssvh92x2upOPr/k3CpMrvxRD5dMLPfaXOGfo5pp35lDcSvXc5K1cF0hpXeB0eiU
JJnkjGpOvuxh/OpQZpEByJPGEubP9SBrOO3FsThcp6W+8vkWnPhzMwpogWkmm29VN3ry3sgzZRFy
dBnGGoOnAOFq5NGwT1yMXEAr3eVDw4U4Phg+vkcXNgXfcNDml66c6ukLSVcszYHWMfB2D71OkJn2
+F6Yog58q53GMy9J6wH1/uxFtv4sSf6fEs5IQmBwui7xtI800ZAcldPzP8k//49FtfH73s3T2T84
NMZxKkPd+R1PVTfTCIHCGK+0UjobzTeTwDAH3hF51ChgiOI3U1prpPRk5c5OgwvhJMbWE9Fd3bMz
q7otv+reXzKQ0v8ZCInRZv3Z2OcY1BSB1vgd0CONoSl1UsvXum6vouasGB3S4a82j7+JSusfQlYG
OAROJV38/gI4WTcx9A7jNTXpfOQvVyt2paj+XFD9V5L8S0nSW6us/o0kCZ+gpA3hX1XJzy/6mypJ
XTOGbZNCYIfcBeoj3+9vdhvf+MMhWITbAoaTyUWMYPl3XdLkH5FmgOHngtHRVzWRR1mX/K//YYHk
c4WAB+evNhwusf9El6RD9V8vIepjKYrG1kPaS6AYfvoi/ml5mrop8o2hktPUkBvB91s5gYN9+1w3
Aqlnngyb3glse3XesChe62/QxgbPwS2sGCAPrSFpmPOqwj0ti7CjbTFUyxh0uj494kWX9p44/6w9
EultXxpgrE4IAjrOwjkqoO4Mpho4KUsYOEXEtBL0Ul+IHdF0dPEzis/X7cNyZEfU2UFJMnrLNGG1
24GSgSS0xorGBkVaNLA9jT1/NosfnxGEzvPB/C46MeikLjoVklY0nY2B0GRefLNLNsqX7t2ILSSQ
Q39T4Pl3QtEoFnCQ0y0e7Eb6VGfZ/DglendtY1Pe1jxNuRVTpUFV9qbYCUoH0ApDQH0rnJr0STw2
KCLVfIjpNz2ZdZueue3usce2sNWrtNo5JakTUyUgZrvRzI3N5AAKtjthvhQ+ZtPUaosnw6QMxk/s
t3iY63twQv6GugjroTez9jhUs71JDBMkwMJGr3TFVpuxdU61VjxYQiuuVjneHJ0zrVMUIO9rOHQ/
gFzXe1tQeYKClZ8NKaFau1NzG1pu6rAk0viOY6d9HZN1UcYZpL/o47Yxq+oa1a38lQ2uvxvoSN0p
h30MQpi6ma7/w4nwYxoRrGdXS5rAVfwXpN8Xn0xb0KJQhnXhnIYR7JGghuEpa5V1syZ/Olu1GB9S
pcP4z5PvmWkl707ljhseGmekqXnjgCAO2CbbPMlr7XGoJvlUtLlE8SrU1bSAFnW8IixZc/CPWXfV
prwnx52qr/gYASwpc7rOFHFs6skxt4bDT6rB097oQxR/WTwBQLbwGtLZWVkxaZdZRiKgro2zlTT6
iZXTR8G/fx/3dvHI/hq4BYk9/yaoGnn0oJUigUUZ8juFM1dbQ9LMap4oOVTv/aL15U03uaKF23cX
ExrdeWZ9XbeWvePoru4qWr5f0QEplGJRlpzsLDE2VEsUrJOtwd40eT7uObjHO63pzy7N6ic9ce+G
QTWkztySmHjlZaGXTZy7ymJgycc1SHfKDBY3IiaHm+BZ44mAA/9GnZW+i8TZhgLHmFXi8++zh8Rq
7zWsVwZ+kY1f2DfOHsW29OofqhYCt1P1PK8FiOyq36Roix3M2G4OZWqeHRv1iVDLuZg/tBgDeWXQ
q7j0+ovd+0RdZj861OOg3Y2wJbdRX8ebTLdfuRmqe7OW005DFYc3EjvHmejQs+1qI/UzQiFcstrW
sJ+7mXYSHNnAnJmvUH2abS9ku8fNYHLwPS1deulkR265I/pICqyMGCGIqwbYnSVdwpncjrAGdvmY
TaHNUejmRVbxWHtOfKQOkT4UprIjRbTTo5yKZV92OaVEPLD3Sz65d3Y7QMm2xmM721EOwUGNj9gS
nomyaAetmZ0ronVS8gGrlD3qpGvYs/ubxmAufpij0ZIXOL1X2XrfWRY7W9dd/C8Zp8IdfeQ5jKU0
epgtL73Hyf1e2jVqTUNSZkmNd7ceHAAFrd69qZZfmWaPetPWhXmOi5IR3HS4pPW4CAdpF5zvkuJh
5rYbJBP3u6JqAVyJcn5bejhYmJOiEDd7d0nnaX7z5wmuu0z15qlpiQTpuLRir5T3ELaorh58zqUP
sRORSqqZidiW2Bz2Cmdg27lk1bHOIVhxSOxob65L/9Zl4lddod8SbKfuKvEKRAXPIGBAZ4wX1G4p
qyi0U9lDH8Qkgthfp662MxaaVTyzk7s5AWXNzR05c+qfAWMpwz7MrO5PstSTnmeL1vzItayaMVtm
1HNNCUP5fd56FZnRavIOeY8AcpnAVzxOPLCfrDbiI5KPXHooVYPzTRlpe0oWOUPHIWX7vePqT0OD
Jl50WC0SNo0ftbg1FD4xJOAeP1UmTd/NHGm7zs/K+BA13XGmF+w+KfriiW4OSwTtQENVkkdcuP4y
Jq+1Z6vtYNryYKRx8u5x6vcDanSoB43nzr7EVmugLtk1ctgy0jI+1Ey6ozUMQ4CRE+c7t/ZfZW5z
NKeDcrzrBqUe8IA0OoUUM8MzC3ewDJmD7zOgXbN/0YG2vzetnr7yTCbcCVb5jlCGvI8Gx/+lT0lP
cVERWWz98+FFy4vlKgEeYEViTSUt98MpfYddOA69HjTVgIGfDqqjUw1Hyd02VJwf5g1OwXW9GPEq
ItQl3nM/zM4Faar40DI9I1bQm1S5uXU6PkaN7T7zHPG3NXuPHagjZhgyS3VEEToup2ObTtOPnKnG
5mYEz4sqsuFhEgw9pNoS7SHNXAW+x5LtKzVH+dUq8EJxFXe2CE1fLqS6m/zDxguC1QLAuSpGk7mx
jI4srCRhsoQPa111zf3SWLC1sQt5c2DSeiW3s+nrd9h9xldnnMefkZc0b7iQh12pZQy4WuzHdII3
s3bCNjY8lA73m8BSrfbD1md1P8PUBz9CawYQFipmDkIb6zc/nrAKzUvUH2sDe+UmS7MG6QQ3zkvj
pbYdeJXV3TKb7Rv1AlZDkqoujnzmoHD34INncA5M+Pzk/tYSrf4a+fAutmWq59PGGDRnDz02vUV+
jS3QmkVYsrIgT+vZxG2sBMHXMQY2TLkpLvPYNScj6dyNW9v6Zh56RVKLC04U9RJOJDC3ENOa0M3M
bkv9mm8HhqqB1Kpuo9iEXwptwPMviCNsJpHVRyXstgxkUbaveZutzt+4Vwb+PlV9y2eizdsOmntD
ZUyz/KRrzrqLdLZPlul+t+PE/yowy75Xsap2VkJ0ccMtPpLBPOQEYSiH447IYlY/pkIXd/5ii7fB
aQvyWDXpUXgWCxgba7a+i5E9cRcZ1rNPlCgNPGlNCGMtq8+yMqsDJHH+b770uXegBWG+eXnUDOGE
6et98Ad6HkqnfmM67x4dn3xYmE2m/tovHCC3sT72XEu6Av9RCuPDb9grbSPpxtqJdEX0jUhF+RU3
tqt2Fq6mc6/6mblS0yi9aEGPSDIZR1CND/rSp9+aUlzjeQAyIIeQxostUT6WS3PnP9qdr197Ei2b
2JesIR1C8fe0BWiBZ8Rij4fLqQOnHezv9M6btKxilXku7VmwlpMj4rKhWcYcGirVqcKI46vqzGU7
Ysk5mlmB9dp2us1SW8Wuh4x7MdgAun0rfyaZ2dOC2LvipwuUhSgW4dtN7nbt1xhXwncXm8tuqHSi
Jbybyxpqs/u7xJxybOdWTgozcpB00jbObJrT7OyjJvhUBgyfxFRAmXFrscY7oFzJSxFNxRcEsgQo
o6MxH0T9pWWngwqbu945b6UfxjpnRDnGJ2+hEHBXYvQ7eCnISxYucf5NecLAWR+NbAGS1CHVWdem
u2UrupxzzahPI/aPC79hcTHtNP0RLWkHl6DrqM5qhl3sW+WxKWJrY+bLC2ijsQ8N02jfYxY0D1bT
sBzT0/b4Ofr9d0r+6ykZ8se/m5LLj/S9fP9tSF6/5u9DMix5LIN423Db2JbAoPN3Don3B3EzTmCW
JT6H3X/y7hh/CPjkuk6SAJEFfsk/ZmTxB9UpVIByJv5ztP5PZmTklP9rRrYMfgrQJNy1PNNcdah/
mpF7prV0SSaYqtYybWjcKt6dDMs3vSm6CV2NWDE4TTVj7O5x14V5jDnbTVp5t8ANnkIDuNGWbpDh
Q2BguV/I3b/5EE5Rtf2cyhm+Sm6mKuIaLpfyTTq484GkmPckU10QIkxodzhrMI7nGczRrfILFxqC
9yQoZbi1Uz/c68O7rFo+MwyWzx3B5tcqTwctXIYCW2uu19M7rhk5BanSMENqVgzgY/JRHskUiDjf
1m6Tf0/4FOMCbCUgyZnWLmJ3c0oMvJm4AxR+f7cCS6DMEXhmK9Oanr0tKk8wUlqYwuF3ZNa+gVeG
gYV66IuViQEy0SxSuBxl4VqYLfLqR02y57XCKn/t1ayHvVWoc+yr8QebwPIV3y/oNA4z85m1VPM4
11n8TvKDyTgzqwAjPCQHWYeUp+ok2rzxulAU9IAWWgEi8aYGj6Icxb6Y0vzqWXJ6tAtr2dVzt5lV
BfBppOapYUwcyp5Qgz3vRzMVD+ALfDPILPljgqHHcUx6D65jsLXosu4JjpqiSEupLaZ96xAttVHA
WWWj53Sx2GTz0p+9aUyj46KM5jQsBbRaPabnilVBA+VWl2YZttpcPFuy7p96O+ck1RsUIYKyNL6l
lLV/6zTWZ/Xo0BRV+tplXEijkp9waWyf7XCEm3pZYqN/KfK5bsK16PMyRm1zZhE1/PIxv1ArO3ca
0KiCDeRgl8W2xvSRbcrRZ5VmsLy5Y5xtDSDCff7efMY16UVy9nEqEX5N+v3eMvykxVps0kBEbqz4
ofT80jhgBE5vSZ1bL2Ys00d/cfjTyNO0Twah2V3fJPbZMDOGhKSvkgOjMBnLmRyz2Q3NYYSyeIsT
SfkufU6vWhm3J0uX/k8MG6LduTpr+sCwRi/dwtPxbwg/y8jmPK60b1lsuQ+JDfGNODI8nsBXS/7D
rivLR7QgmB/ri9z4xIgwUeFH5X3MSdyr5EFMmbpTxpycBCZooJnViIMpKm3cInMsN1yu1RfPavS1
ybAi6t3wz40qtu+awe6rLWJ4fc2QU1PFuZpP+bepNDIbFHXs+zYvDzhUHZ7CkOr8TwV/uuuCyR/m
zMUy4U96cYFPP5WEV4DWLGSGMSJFAzVZN0DM1nxKqE4/NKP7YHgZR1ZbLCHYPwQogipPE7bvYaum
vniNIla7RhFxehI9zrowr81qBT87T9R4kYudU6MLO3tuCOKn+tVmvL502Nb2NsVWgaoURImchl4/
GvItvQRcinxebpHCCxWkmAG/Tp/jKkKFnj2IFKSEv7Frhvkne1F4/AtEjNK5mkajHca+fbY5Qj9q
ubeW+64TssWoDAvTvavW6Vmuc3SxTtR1L+dHVAqT9BTzdrVO3t6sisextbAf/W0uh7Nk+cVWEPbb
WIzvlHelbEGS60oo7dcJX2fUH7ITaya+k6U1+35VA3xkAXfVBxyEgixDxKKAMSDQpvg2q5qw6goJ
jlGqnNEajFV1gM2p7lOECH9VJEAusWxfVYpsMSJ22dytZySMctUyolXVyOePVg3nbuE1jDr9nH0K
IIaf6ztdJV+nT3UEmcQTM3oJwgmUAkriU/Omr5pKhLjC2Hfvjln20CG7sB5iuTif4VjqO6lXT0Nq
yUBOogvHVbih72/YmJ9qDtYgD+QecWvcJtBe/9R9UIAaHEin1lLnbhWHZt8b9uYqGBlqxoRjm4Jx
0c+TEwhNO+XXq5dXVnDqzp9Ge+cSHTe5jM7uKkvpcWtihlmlKhpZ95pTamteh6uJFdV1/lS3VEVG
zFslr2ae/RuLKtZlGFmKx3wVx1y//RBVop/yNDbOi/SbraZYPoU1/Lv1NguBhq7aOf4iCCVvyKRW
m2aV45ZVmIvdeL7SnotxajDar0se96Hm4DUx/fTRabWGjwQyH5Z4hZKC9IchST4NRRQ9OqswiGuT
zH6lzxuLt8ln9tjkq5BYTNF7skqL5ioymqvcmK7Co7tKkPQnQc203JNa5cmp59LJNP3FWaVLqro5
m2ZTFJImgC2Six8jo8XNwzwfLv0078hl+lQwieKXq6LyisFcrWLp2Nnopu0qoXKP0S5Zl6KrNols
biCjig09HPnZWgVYZ5Vi/UklP+xPfdavlArBoN+4CIurX+nFA310rBFXaTddRV7D0B8EYI/NKnce
5SoFF57lb7R+lYdH480ZWs7HhpY/gQYHeLjKyR2L7J361Ji5Ha56MyafkCL6cjd/6tHO2ri4StQa
0u7JUeMMgSadjm7HI3LKF/eoFYZr/Jkv/e85+S/PyTR1/NtzcjX+dkj+/IK/HZJ9/Q/DEcLgoPvP
J2Tf/QMrDwtlU1BRZH6mw/++RbLWLZIBEYIV03pA/scJ2Ybc565nbp2NlC3Wr/oP2phs6zd0H2XD
lmNbLqd3X2efZP2WApsl6PVSpPRuNnI6a5miIjc389tkOfmHLIflCJwB/QYbBVpO/inrfAo8n1pP
JJT2wPyLAsTYPzzYVhc95wsf73OzikVJh08a2Piq5kQl9/+QUjukJSNCWJ4K8Tw73fjYA41joz/L
ggLczCs+hlWkGpree06ArCCefapY3aeiVa7iFlrNMVnlLgxoxTb71MDcTz2sXKUxSFrFzxK1LKYk
8Jr50/DSpY19Q/BDVeuBgP/qVqkt1oa7HEMWSgVp19dlleRsAqEvU9xQiTar5BcUNXQ7Wk/BwbWT
eKixJ3Pkny3FJz2e7iC6GiPGQ5sKVqlpj1WZ4fQSA30Gg2ZGR/dTM4xR41jRVRbFDkmWZ3jUFwO9
asQMttRxeSjcSG3BLiWvxgwSPbQ86e3VuvcLWHYVT7NBizMnBvS9vooPKVDQPagb7+Swy9jr1VRb
m0VK9wmUPF0AC/3SIpiJ/NARCH74f7N3JstxI9m2/ZVrb440d3QOPLM3iT6CDPaiRE1gFJVC3/f4
+rc8lGlXYlYpK+c1KFVWpciIQDgcfs7Ze236y+jbMQbYpf91lgK1Pc5jhTY8GxhQ+E23NoO0PvVB
mmxRphBVzPQIqk09+VfaYXSZLGKT8ivvxua8zoN/UP3DoPL6AL61PJBS2lKFBF639mOMQmt7cavH
Ohu7k1QefURz4uL4GQQsoyqyW4kwShDttyS3uFVLKCyoET9lPcAnyO+dx/CtRBIRLfOkUwOVz7HT
DToSQ6G+Z+TQ3SIipTEyxTTsUJei+BsnROXYQrtTl+RWtHKjKbzzuuobSeBzfxDdUscbA+TbNyIl
ibGAy5iNq9heurei4dhxwPuYPQf9lBwx6tZbPKiJjup2h9dK+hQVY0NriG7UzjesRlFy1NZOlj6F
1xTL8Xbp2jB5rgX8t+F+MbwYZo5cGBDtlRzih3FW0R1i9VlmX/l2Mb/B0W5iri0GNxRj11hB5xKa
oKvy4CZsETPnskR8YncDkqMR4+UszQ+hx2sAT9ok2fJot0QAjQUSi3Un5VAcAgDIsL3o0zERc9eD
b6oTDex0R/Rjzu1tNWtM6USnpuNKFbRqbB+FeSuqfF13MtglUQrgXnXYi7EBr5rQgsufyiuz89Fv
CalWU2k/oGk4ZKNwrpfKDvB3NXT2RTEfGEpy3XsiWhHa23OwKbyGFUgahbgxdLTKRuOt0SIHKCiT
pTuZeZNvYT4rQtj98bon4ncz4s7Y1w5jD7T9S33ltnV/Qq+YP8yysItVXLrO3k0KnDJ+e79E3Jhp
mXyD8/IBtsPKzbyULKHS3iQuydBlnLRPRm9mN3gZ1bot6FTFkyMfiT1m1/JQ01GXMD4RLqMmpHcR
OLXQWzMMQBrXp3dIKJ99u8nWIYHVK6O0DkkXPrioiKHryWQdgK1aJ7EYnBX1J+bZxUX4m7r6apfj
E97zaCOYqR1VaS9bM3NRahOD8+BWur+bLemWosE5ovTPyVn3OWOGdtufoRWLbT0laFBRgX20Mtv+
pHIn2UQpZ/qJUPeT6jv1RI+lv6pGN4NNHLbsKRxT6PjHTmC8CdIzaHKk4XIrSGFn9BMmdwvc999T
xGiHElzEgYgzWD/S8Kdt2IbTLjAXYOWFyNcj1vQ1MroaLDYMR9XkugVovgpybEBRAuuZAiKXwQB0
WzT9gP4sLso9EaW0TBbGmgh2M662aSXcqBzC/LeYCCGuuTUwY4qnbiKXxSiuY6Zot0nrIQoTGKSH
Il0oREyxFUT6QC5X/Y7Yh/wT1YhHgkZI1z3k6/+U4G8ynR65czoVt5JABsYdoXjCu5J9a2e7e1Ey
tB9VPRX3dR2F25kZ6S7DJHIels47MtRsoRPS2dhCyM3YdKO4f4xtCx9G1FqvVsuStqx6vGaOU5w9
+MuAdhx527ZOShw0/Yw2H+fHUOauh4tGxkR5+5zMKdauWwfZkIicZD0kbYoy0WPLzMJb6ZOwCwU7
xgvSKw/kl6eYMVnhBrIfrZKgi5aTyKpol9MyQh6UAWlG5Rph1nfazxz/yPddjCG+Noe0PQBqI3Rl
kdOXvOvT9WJVy5M1WDTNg0Q18J/iLlypuv2A1N28XmjMXtM4B7GVuSJhvdXRg+P28hGXlgn/Namg
4dbMiSGMRR+rumoh7LngVNqSphkbU33giT69RiQnP1mRDVAFJsbEsNZCJWnaC7TVvjsRNHrf9aC5
qM8t2XWfRO3qw+1MCZOKTzPo3uKAa6SJP4I20EjKrnR7nkSpQM28lBH62AKF/LaX2E5ma5hgjIpp
+ep1g7sN0pkyGPe6WkV4CgfYZ2OwCqO5348ihz2OZzlOCTlikQZHvspsQ2hrdm/pTpJTqFMfGtWm
Jht1/d8+8n+ENqKjiQTq36utrl6L9vVnrdX3H/nzhGz/Rk4pW5UAIWT7puSU+ifaSJi/CeyfHHdR
PMF34YD65ykZRdQP2ipEVxIxpuVyusNC+g9OxTShf+4bcyomwU15uEUcyzNd953nsw46L0vCyb3K
zcqTa9NVEu6wZPJYr/vWqLoa+yNjw3GV5lYZ3JTFzCO4cYRB52DpWJWPGRYdI0fi5KK23BqAA+zg
4AWsaPqmAwpWVWdLdZNGmFvVjlyL3B5vOqJ98d7PpuJ0AMYSPfqua7PcvR7sun1Lw/Ee0JtiIGsa
am1HrtoRl+Qj7KnDTWUu86PhLXiylw5MqY4pKBjXaC/fsmeKAjS7mGTmrJNWMLhSDSzhQ1Z7fX2H
bzN9bOrAf2mzxaJq56ErucmGpLpyiyaioTz7nwyLcRMvMbvLdoLooOM6lQBuMxf5Fqakd5vWhftS
06rdGH45fkZSzROHmnZX9jPqaSTIuitu4poqrcjwMDIZcACXPDsmeIs+u61TfzJbi3axLGP/rfS9
t2yabzwQ9OghUhjh/BGch961bmMnFgffV3LbJRbBXPQl+TuWX9/3SRFh9J5nselGUKIrDuF+vuLo
zJZoB+68GqUzHCCh5HdEkLTPGOeZwzXzuEcJN9/7rTmfeDDqjjRRywZDNCM+RFkSf2U9OPdJiu9y
O5SmcYu9BJGY44KTKCdJW7crnqJFcQT3+vKOR6xaDyilOQ97nXm2ncH8aACAgkZYm9ZtaYf9xq84
LucK1Q4ZmAsQHYcRZNzbxNuZRb8FQIFbAF/tzhqhWGV2MuGYCOrlszHn1c6LM2OPRHo52hj832hX
q2OEb+NxEXNw0xt1eV2Sq53v7cWYb6d+cQeJzWOwO3z3qz//m76fPURnw9Eq8HUsGHHCmRx8u2hO
SdWGY3Gitzdm5UZ1QZ34O1RxNFbwwiJMHiE+LFv4F1K8/XdH/U92VHYxHZr673fUG8hR0f+sX6Gg
xz8P6P740T92VuX8xhNUS1FdR5nfmwx/Tujs3yyTrVJopbPuTTAc+2NnRaoKux2vO20GsEhsgP+7
01q/8VcZqplaeyoZrP2TnVYJxoA/uuttoqBNC8k93DjiMmHb/TyhU4yoaFJzJpo6nXdEezZSm6UN
IdWbQ8OptBsqQQa8UJF7DMw5tI+FWfgeErmWbrg5cmzfMdzL0y2407A+GFkpsUZUA0EdeK/JS8tj
gofnAAQ92hJ5QwC7fexs7Ajss0kNZotMke/ps4jSdX6Xzi3JKa6v/SgoXwjXql7wGpLpxVGOSJCx
kN61jEz7tWjIfsv93MCGWoSuu+pL06v2JqHTuIdSQ/8I3Pec6V8MVr3u/OfeAsiDWFez1LvWI6KK
YJJnCLVwMdBRHnUGE0IVhJ/NbYjYrDyV+P28k+srYvc8kO3IyAB+IF8z1hIuEF4DG+DWnE0E16W9
joipqFcI0zLD5iAkmS0CyP6r0hk4ZWn0Bxx61oeFgdtdAdT20FqCADI3Jx0tNEmmXF3S7xJXJ7wR
QouziYzBFjkZ6oKvCZhZcgN1knaMmffFCmpBIpnV8NfsiZiVS5rkHPJz1Ai8AUcSAQRik1cTjC6J
wdMpmr3lkmLs+hOf2k55TS+1qpcsEXx2P3PIOOxHAbcY8dlVEanoxkJFdu0NAbpUTPjnJIiHo1X6
6bGIqZZx8ejr6U46CyefcvD7rGv+n+9fKDkmaUPfmywss9ff8DATbMxX2raf6D0AIRgvwdJTahLs
JrB9xfdGbvIRSmIYIeQNEX96LdUautye6zImBu+RwTIEh3G2DWetDBXG+7rLea6Auo3ER5hrtrWD
iGrARx+Xb1GgMzjFUPjPczY+MJdwdnMRuTbBW6QELGaboFSlHl9d8oIqmZOhbbMAEc3pVcv8bZdO
NmQoDEb8pgWjCWf771wevYg6QVxA5I68V9UNrAazYYCE26Mjv8mfISWiWidVL4MfUNMCaFl8hqmj
PQeTW0+NFehXkPbhVnSVvIkY6I2MIya+4LLSNhiE2YDf0oSIpVNBokRM2hPuEB6EDuuNh5V/XVb0
Mw8qYQ5u8JzHwTxavO8Ydc2yyjUZ3yKliLC+MWfFBDx7v06TzUuCZOS7G/Q6mWHJvfT6K/Ksjrgf
5mQvTIb4ZZ3Ow/Md098qnfE1D8wGK/zGL7iqgufLEo4NYpTmtC2vtCny5pKAGLjEJY9WzyUZTfIN
ppBbIV9MEhiiREfSuTaxXZeYvY4cL3xJ9BCI1tGBzFmhyV2XW6LXAUZuPHPxZp2/XQs2jhi95AtN
QBIZnQqYmks99GSjTXpGXzcYq6pN6EolNRyBrNG+aVeHsGJkIhYKS9OwugTnKUF8bwx6iAE3j23u
ByFYYIbOXIXMxPUJGtIpBxNC+ywWdhBOzIAAdarTWBKgudQuX2F3yWstwWACEjI8IN29gnJ1l9QD
s26jaWf2U9qGGwpMdXCdhlFYRgaFU0/GxsLzjPGxTPm81tSE424BcxVtOT1yh5lNzhtaLHas3CzH
CFDHVJ1JQvC38YwHx6JP95D6bM9ekRokD8iM32O7OJlTatxN0rFlCB27jCMJTsmc29NDNdX8JZNq
8iUVxAL6WCr3VMDmk7JY8yAVcSB6UdIsjy3MF/sw9WyRgH786ylNWVE4h/iiMADIpwCSWHUKS+VM
WwsASsSBJYFnr2OUexs50XoY+ZYyncPX4mZutpiAWVMBfEk0IO7C19q0hCyKET8ZlACy3uqeILLE
mUdyk5ocgS5jP9aLbIlWwHtHSK0/cEfkLhFScenLpzyXvJ8kr0D4Dr5eOYqMkRmBeMOvN8Og/Rqm
WLrjyGF1+7wEJ2r/uYlJTryyK8LveqkI1L6seZsWFHbpjs9M9IJe/71yyRrVkaIOYeZ8TqG3vWGU
dXc/4MiedrQ/2d+almjxLLL0evR17kNVEywJXoYv8vuWRo+XrC4GbCwlJyDC5Zh4LdQB5udjA0fV
kHc2ne5tluH+AHnO5cXLuLvccfng2c9j0U0YtGuniXaXnbUsIwnvIvLqZxlbRfE8huGcfnToDMRr
Dt28UWx08d6OiOXydZgpuJr8Xka9uUb/+hV1HpLfCifEyquFfjgHITvwJdd0XHRGZsb5QWuKvUqi
UokKGd2aczQf2H6snEi+EON4tArLopSkmi7+VV60TKCJiZ3go7exn90vSfZ7IuJMkZfZGQj0dIIr
pLGcr6igJ79Ke5K/Su7JZhOxxZQrKCD0cKy6cb+WRf5MGGJz8oMJ7MVqxv3MOcRqnkzbO5aoRoNV
y7z3iS5XdcUzxruThRLw7pvB2jW1RdKrlN0NDlTSU/os1FqZ6EOsatiQsLE/17RdDZPo5BZs77rp
1FqohHuASbrMjfHQdUQkRX1FfhnZAMGdiMD6+34HmbXfVVVb7wxGR3cV7oYkVw8B0D/xcXazyuA5
UeZucJTk1bCrUktZtkvYmSV6dPN0fzemay7FWpGZRp+ntpN1VZqooSU6a1rklYfnOtWQHOQYKxXj
q+7JlndoF6drQ+E8Bg1YRfNududMHXyWZUP0TK8n5nBfr6iIl1tv6tSpJer1XsVTDQyBOnqVj/ID
PZzybAi3uIWY7Z0UqQibTNocSuDBbWl4V+gI8ICvklT1V800iLOyQoEt23Cm18wukw+zyj/YCSX1
dYZ04L5OowJrBsNs5hB4r73BGmgJNv6XCPoCxiQUQ1AjzG3toOX0GrzLMzrigxjqAaNIl28RBOBS
gqebrnqrTc4e6NL5zPVyvyadV+yWfgx4jseCZPvxg+8nFQ4L1exVMH4egomU6kR9CQHoP0QOsQQy
q82dlSpADp0DnEFwWV2/cLfOlE9vSW8+GahrV3Jk2O/FEQTUhXq5VH2+K2fD3gf+oK4rqInbsG6f
ap+si1XjcjLatnldnrslYItKyTF0xqjagrGFO5hj0zdRQB8cxtTH1O/t69JaoLY5WKGGtHYeJ7cE
01PX3tbwl3SVsGPpRKP0DvXJRnHqNJZU3vIQIIXDHgrQFYZ7zBoLKhzDcKuwigNUoWbv6ScE9ggs
LDjjD07KF9YSfv3SBhODiqrxz6Ch7/s4NzddUYiHtEm8a2LYuw/mZBq0uAm2Whme4udGzq5fuiHz
OZeY5nLqwNHuk7grP0FmoJkJNoCCHrJM+oTODZnFaBnMTGrkaK5UpHzZpIs58y4p0/w4okF8NdL8
02TUjNEhZOTroWnanaFYNiSbU76imej3IkCq4HhpvWbzD0GVMF8LgKYfh8L5WuEN3pqdHBGiiEzv
VvI4J431it2FwVNQttMnTsRbTtcNJ8FYFEQ8i3TbIah/IiJU3rDz60FHyRDQIELlIFpoVjmGiQ2d
hpkvLZPjNVAU+KcVqU1MXlrXa7h2nUOOw5hmchs6sJp014hInoeYeA5oesBpsoNa2iH8yuYf7hAL
15uFRvUmMIaiAkRAgCcBohZ2ZTcy2Jia2D14aT8+G2lrEn2OtwxPfC/BIlYdFQgBTsptynPccl/E
JEw9g4fOjos7Rww553S3LN2y7SPB/0xUTLJmJj6M4eSxxC34GcYJ5TAHPzbSnP6Nz3BMh3HfREPX
fjQiv7/CVHN20wK0D6eBR+wH4pM/tm6z6qlduhNexTn+2DIdEQQ9un53Mmq5mIiMLboOtO36eiSw
wODkFFK4BbdB59OUw39BGQIjx3shxoNNPQCxD2fUGGfa8StHNosFrTEByUbAtW2IVdgaJBQxdhS9
9eIBTqx3Zo99cu3FOPt3agyc/KpmtFXv0pIj10Y44NFYPSY5rE7PGTRqGK1wkm05iLiDzbMprqts
Pgm5TA+zOUq4Qn62zmsAqJFvcD77oeL/Vy5qdLfvamctK3BwgZpCKKn0v/9B3TpAejKwNGSHIhhw
O+APAj4RuSkD64ZJUr0m17XYulNbv+ZkrD0w4ZuIJaUKi8upeciLev0370hX6z+QRKnmXZ5etuVa
trIkG+jP78hwdEIaO/6BLFQe+K7hTg8dzYTnluK8XXmGLlxGHCdfbalzNnVYajGWRHvLhs103baV
Pj1zJP31G7vIGN6/MdeGCqi7w8KRuuH7w6VSg8AI2dTRgdQUzhZhyam5X/nj2KiJ5xmjnkcySTz7
SBw93/VklcA8BtscHnobsgyJs6P/LBCGoey/nGgk+s69EXP8DW08Z7s4bDktBTrUpdFVOiAFsoON
PKDOTRVK37OGgX/9Xk7EObTuftH1WzFX0wO4WXS7QwIEVz+BX5FMki29tF7K4F1VnF1/fTm07Pnn
q0FKgI3N0bQQn9h/kUVHQRZXDHIOARP5ZpOXpTV9XGxSrT4hIVswtaJFajZl4WTwOMeUY9uv38Bl
Ibx7B3TXdfeHLjvvAoHLj9/HGLmwQc0uPDgTzJ9VULQh8TW+DMwbabTM6jokfPvYiqPwqquCBUoP
kq2bsOjkkyd6EvzKlHrk1+/qX1wWHVzrCAo+11bv7ycmTgHsDDvUjWHKu4lzI3rAkmrmkn/bMXvL
N32+cKw2hrB6+fWrX9bgu2vCy7v6PxRv8mL4/mGNFjNCMgQ3XJM5o4hOZD1XGqzj5eQM5dHsGNRf
o2c9wd8yjlIXboVNO/iK2UBl3togdlJwg2kXRodO916qOiySb6RXUv0WOvz412/YfK+u526HF2Ej
VILc6frvyfuRNOp4hp6+tyKHPdAskZ2cvF6XOpfMcTZ+/3omC9J4LMyF5smURyzuOe6Xx8l3uedC
S1KdOIuRrZPM5h+55fhzUhma10t7yDLB9sB9TejSEPISxodSGynXsSKQfBsOdXNY5pxXJ+mL5o2b
zpiJPAqCr5cP+1/t299p32gNM/36953oq9+Lrn9L559MIt9/6E+TCEBW5Ut4a1quZv7gEfF/c9h+
GPgpH9CS1BSMPzvQ/m/sS74E8moBh5c6cvZ/Z3025hDazxLIAriUf6SAk3qn+fGu8yB90Ht2EMIR
BWCa70Z9PMqixluC8DRIOg9oVqW6H2W4MG0pun1cK/80iC+JMU7HqrZB3BDW45OtNXQHLPLD3qpl
vUflTDDTD5fx7vtb+J+iz+9KLLft//s/tK3+8tb4cMxE2Y9MW4r32/TUOrOTmp57VGSvlre+n4pb
b3GZOjKuc9KV7Ml1lLZhb+MmWHUhunqjGuBhId0JvnoE3t+30vFqCnrqI/VxoRC8wbM7dowOW/mS
R7gNG7AP1bJDFmJQdTkg92+Rp3utAUKtM7wDaWfLxhZpAXhBZqONsbEEatt8iOYhZIhvEKyx9kl8
x6LdcqBFE4AsGoOFf6KtILURJdlOjf/EnDEiyc9nB7tbpNt/8Eu2t7Gp84EqHzQhPd+k/pKDDidO
zCKYabDp661j8pdmGsRokndDYEbZCa5glu6AcQLQTiBV3BPvRK4RHauiCZ4JXjX2Tbw0pzpM5L6n
fHuLRdTc+jnoCzdpr2DxnCqYe0+qiCf4OaScqbbvAHxFw2kyBmMTq4XZX4ab4aa2rfm6CKOdQZwM
appelg+G7b8IK2k5zENY3CxpFn2CnF+pleid8WzgfrjHz4iZXkVzux3jYboO1fIo+jC7beY+Bizq
FxCmRleGOy817C9NC+zMr6KWUywgSDrkInYfhJdWDwN8vHUeePmdMywKACNm5PSMwKa1PiQhlsCJ
/JJbHttbJFfmrqa58jQLMZE3gJtucitnT5e22FWqi9K1bNx+Tc/f1aB8eZisoNqCSTJWlIYQBkVV
HlHEUerUoXvPVa+vgJI2u4Twm1NIjMaJp4J3Iis9CzdBIbJPVSfbp1IhwapHSeBW2hsI/zgUA7Mw
p2trEOpryPRmh4Oz3uICAqVpDt06m4dma8ZlB/E2GuzdwjkZMyq142vKsl9ZZjOtO1bainHQ+CAU
tBxoPcOVM7b9Flutj0kiyrbwDAugXwBAl6KzSPLIG3xOC4e8Jo5Y0qQoBrsRscy8XijIPjn8krUx
ZUx1Pb/fOv4oX80wiWDPzfPvJtGd5xpD/cabpuaAtx9bWIeW7oVKjYCfAFn/0RzchOPRaM3Reunw
6++ZBeP5UU7beiuzzpWJy6fOkCOCUN9kYRZSIrSB8eRMLcYN28i6o4+f58qvHPgCE9fxOADWalf0
TaPrELXWFW1/rh79/mVtD1qVOUCbnelGrQjbtt8wlY6UbtnYPC1jVVz7Gdy1VbXU6dnB40bKgQ83
04v13UVTDvMnTbhhj/rLAhhK0XSvCHx39iot3WPaNR/8aFy+qGGZtsHY2kefJNkV0kzUrrQDyxt2
wvGFND2P2ZrnAu3Nw6WQmzRuUlyhsB9nYAqN+lwEyu83DoQCSF2w+IYbfFP2EeA+kWcQaWmByKGL
8uu5VJ1J0TIMxzJ0SwcTM/Ey5DF6GdyUkopwiEPzFkvUeO82g0TmVEQD4oiizW5Juqmwf9EbRlU7
lAYKMUn7oUJ9d+OyHVzlEYU8MI0sf2YkXxPqZnXldiL68kwiR31tkBjZbpT2EMXaTaQY5mcb2cf2
Rmi3kcsahZOoPUjD4jTn0Yyiu9gc0w+V9ip52rUUzj2wimpEP3YxNTltmr4lIWh7Wmba9oRM1L2j
EZIZnwDnYIyi1+I/mBzi4q26WKfCqnGbna0dVVSo9WnO5fgCiBQfnXZekdRLyA5mrMVwac6H2qEl
LmatTvu2Ip88bjUOzaNjldi6AulG99IxzY/lkMcPap5yeWibNrwDRVWB7Jm7NFtTn7WfS1Ie8pUN
lcDZN9pPFmhnWVT7NfmEchrOHZ4+bI5ydCJ83B7dkxRNGHlZ2qfmDBAlcFN1wzf2d2xfRjTuagXx
0jV8XiL0xXIN8cHaJbOVHJvUnLb1iD+OvWE6JtozB9VA8geLjn2emzzFLbKa6a/jl9Ehz1AzMd4l
Dh48ebHjqZlBwUq0uPSww6DsGlDgXXVky1y+NvJBoqscXQsCVIsPOUi1bSP3LbEwloyeXa3TerKe
8VtVxwTZyp1vRZJXzd/ordMOJEnAuqUleZ0EbP00gK7D2QvwFBKGRRtu5ToGUa30YTeegCNeVXZy
Mztg0m0kLPzAMpm3jGOxw43a2kiHQKzBgpsbTu74mxr+iD1hfE60NbIxrenKdmo7W7dVhHXS8Ye3
QdspocWrTQPBgUM1+JFM2y5ZpY61xkuOG5MmJ87MWZs0W6i/9Ms8q7myPG30dKwIR6dsF2Vv+9mA
NYQBzLd2c0NC9QbohHh2k64rtrW2jAIuwj06X5ykIZFMARhi7TDtLm5TL1Ijqi5PW8EuflSggM0L
sPn0mSMcXxcUUzsZbg3yIx5m4T6mU+Dsk4vL1SKbfiEPN7LO7cUHixXFvA3SAjtXF5WfZ22Y7bR1
Fi8p3xfkWxy1hpUUny2nzvmdGG5Nbb1F8o2vi2l6fvbqVl63bGfcRdqwGy7au8u5Cx9v5gFOXFHQ
pa9YLV5aQ5IlPUsL72XiV6cE96FC7u0ZiL7xwUZrclOJpTXKOn+AkN7dlJoWRaETY97TCClNQ6CJ
oslSfds+hP7Iwxqe3RnYdoThl1vsOsbb4WwwA2EBGm1GHisnt3Hq6RjtQNOs8MjVXzy/rlAoLoZ/
wgYEMhk/Bih5+Dw+elSNxmo0Jcu7ALN8zc7qLhitKs4AEE3GopCaJclwTRfMQXtwAXA1FxgXx5Pm
o3lBdA2WxnVBDoCHc4F4CdZAsPU122tIGp4EmO2L+gCe3J420xhEsCrBmQDAySzvcZpghZUXbJit
CWJek7LRRr7myJZulpybaE6nNVt7jq3Sm55pgtUP2D7V5zrwkn3p4sNcpaDB32wZaPSCqot93TZY
NYwwp1MfyYVHRq2ifh/nlbwj8yvKTyQJ+SCaFCz5QtiMiUQojpWXZGJdkHm8aq2eNOoJj6rVXbne
bGJJ+G9Z958IjKRvejTv/n1Zd132ZIC9N/9//6k/6zrvN5ppJo5Z67sTiW7fH9oi3ybRA7ahozxX
Wih7+Fd/VnbWb1QypvBd2hwET2lu3R+VnckvpIsA4N2E5sLR6B+pOK13lZ2U3OD4mmiQUikqjDA/
95hodo89wc7N0WHhMoFODPkgonohjzeudmWdeFCDKyW+tIYKnhhTwSDOi+BkNDFoOp7/mJ6I5CoZ
TO1JZx70MyXDEMl5/cmrck4PUQUBrBSdv5b4Dm9lQX5d0oAQmKIwe7YR/GwrnZPFWg9wT9hQZ8m9
HzbMApu1DEUzkqtlLAf2IfexL/rpbyiT72SsXAGbyE8yERFrgTJ8T5lMOKxRqJJvxVFzusNi5O85
s/hrs+v05+J9/7BE/lXJ+nPBenk9hLOWbSPXVVIjGH/s6jGGF1OYptVxNBqLgJ7sizZN6LzBP6TW
b9P/DX9HFkl7pyx+LI7ftZ70KynUa6AXqdwlmrefX2lh1rPwdM9wp1H7mWzfnCThXJP/ET9CUbb3
c5QED//446F/UfQLWEwoMLSW7YcGXSJMHNWcPo+9y364MrSBtcVV52z6ySFI45+/mkOHg+aaZ7tw
I39+tdD3xrjIE5D5YnTSc4EAYwc0FKNRn/lPv34tqbscP3RB9PVEg8eLKAueJFbFn18M4UkWkfQS
H+toyhjtRdTym7rOS4ajEvfYHE23PeX89Ygc5QDIsau2ceu2//gzO0J4RI8IOkIKe+PPbwOcpZrz
nhNj3aOh2vCgbzduGARPvgup7G9e7K9rCAGjPg0jc8Ri+b7z01AoW13jJsdKLst96TXtpjO4gyEY
pRE48hi3jSp8cq1+fbHfSR651o5AqCEplFHtueLdvpSGyRiHbpUci7EeOJTzbSJOGsdVEQP6/0ev
ZZPHixlL99H4eqXQRtIfl6wdG6McIj9Gp4RCnHG0At0smvkqRJj14devpX/XD2vo8loOsTjEjCph
/2XGkuQdNQpnt+MyL6PclJwWTllsDXLz69d53xbTn8lB5q+HOXq5mj9/pt7N2sYtp5jEBGdIOM1Q
T6zsucA8M1jOYxTHOTQHwBCQrbUwbEulFZ1//R7erR39WbH8sdHpFjhRU++6hhRnaVw7He9haFHe
y6Gm37AY4Tmw5vxUhh7lrGvNf7Of/3VEQP+ULQjoM/BZOHbvvs4hdDndBQqeNTzEj03i5idGcfNN
heB931hVASXPKCdocvMUqnUw9vNwHN1i+oojtm7eKsyrpzQoACZocwK6Q/5YEuP+11fnX71Phy8G
8T2nA1C37y5P6ljBuCjDOKD4db/Mc28366HOKLNAx44uAxZKsBXiSgUBtRzTM+R7iNgWQffHPi3t
K0BfwRFGjHXjG26rdoTplAlcLl8N+1+/17+uWjTOnoV5BKKv+xerh/AJcgdEF5MkIuYUApA3pdQu
bbf99eu8u+tZMZ5gj2Fzgy3CDfJuh40Nk4titPGR0eNy78c6DxJ5r3OFGcB5/PVrvd/OLy8Gati8
RDoC5nx3/WevdVp7StjOyybdhF4waMlfv4ZMkmLx0+moE8lDsp/Ui5EX4Z6SpvubCyuFo+/En3cE
z8JHg1qJQwFv591nzprKMLkzgoPqx2Y+qsxkM+38yaqOYV8t9/hJxBdHh23GhBtgtqiiJOSfAUQi
SBbOVUtA78nv+/kOZx1Jr22NmGRdkyJGRg1yl3MWtXjGAcQ/LJkVfBtAeDx7c7acsYyj4vbRbWkD
YIrT1HOuhkaw4bb5aD44feo+opkUB+bT8joC1dZvSDwzGNqPy/0cBla/ymg43eawPF+zYBZfFsa5
Z9w/FMn+VATfcs9wqlOR19ggC0zlh6VFtUSrNCJ00VLIJfCLwoRcFTVi8QgK4xvzAOvDiKe8Xk0M
7VF3AtD8lg2dPW7yDiYJ4PokOkPOyU+2w9YimyH+0kds3mUbOt/oLHsmABmOjZRjgvyxMfbDnmgP
196PtuAwVKip/eopGPhFUqsXrx4b7wGnqlYK+nmYImfweXlwLwYk3Ja9E3yeelngm2wmFJxnpX+2
pdAFGuWQelLHYzsyJM+MJ7+05jPPmewZmcZ4e7m8gUuwtllE4r6y6oj4y0Vl0ZEIR9c6meBPzynE
PNJmCBen03zZreCwXjXdwg7lycn4XJRIFtalmIiUzDK5HPq44trNZFsQgypE9ETIiv2xbwRZYmYo
ijsNTNTWUH7PGMXRGSxjuGlrFX9phE88W9A0cwgfHvXgCkuZ8wiLyPrgFag3VobJtc1Jnf6Shbm5
k1iFX2kzMbjnpiG1N4jz5d4ZaXStu7RBtj7U0208Y4/ZKFvGnzO3Y2uC9wF7V8BwtfQ6zDXO2uux
DqMN9rp4s0ySA4zMy2VXDBlrSeXdcg7HGcV4QOk1o/4fkHk5BoMjjTfd9FGLszXhA9AFTkayOlsW
2BZWTfUajaFg1uKxeh2dRdsEgBH+P3tnshw3kmXRL0Ia4IA7gG3MjOAscRA3MEopYp4cM76+D6js
bonMpky17k13llUlEZgcz9+799xDR+bUJagT47PCtr1gq5zpIjSy5Jh62dafadThOhuvECXUO2iv
Fmxrgs9qJsLrySg12Z5RfGZ6ujgxPHHW+PbjjRKNeWHZxXzsEDgfIFoEn8PW3ZbOQp5SRXoxcbQ1
WEH3Kp/dPTJcnGZFMAINTFDSANNaEVEFk2DC6p929sY0xpmmoxBrCyvZzh8xAECmJFeDqyru/bi/
ikMk5Ynl76IITz1UhJJIJptpi9EB8skHf0XMXnLMUk+vkRxm0DFbggQbh7GXdL5oZk4X0K2uNC6S
Fd6scdNPHsJ6XCw7Wcd3KlAgRJtKnDIQZWaXynXVFsM+9XNznc7k2EezqXBiOfMq9qPbJpq+Anh8
rjqj2SZGbm8mhfVc0HM6M0zvsV74MaverrL1NHp81bpKPOW2c0QgbUFGjy8jFcOzQf/V98GpLNzw
scWft42caTxGWc4C7Cw1Ui6mSxXbNgq+pr6x4qw5Gj3RSvOszlO3nrxq5eSglX0CrWoRNt/BC1SH
ySqB8aL6CSAhh3ZytEqntFaBEbrnncz4QWXm2DizJjHfyRkbwjhk5De1vUCLiajzikLJiTaDWgZn
Lnm8GmjnHS3L4dNUIg+klU+24arq5+kidWd7QWq6OyclHzLJ4S+OmSIvqPZzDkoVfaFD89aTw3CL
FHTa2nPXbZfvD5b4EvPEOq7q/LppaQq6vGnZGSNLSgGRghfWE7VI6jGsSgvVrJXpxixFxYALPuCL
4Ia+e6gStj744dJNTpm382eTXtfQ09LVlcivGrO9d7OZfDoGbZdOPYPWDqHbJZuW4OZkx0wTM37V
pLsiSeU1ytVmp9wufGiTcDjZ3bhp42A4JkNnAvwiuOwJywJRNLIAPbvuWSfPCl9HR5zgIL7E4DWH
uc95MBNqB7YImXGTTdrd5pMmWQVTuplDbOicwntpnRGegios8Vnk0n0Yh9mf96aMDWBVA2CLsqMe
I1H0UM2zf4lKUYFDZ1Jll2W1NtraPbCD9g/+aIl2VVmd/l4Jz9tWQzId69a+cHPHvPADDdEbsc05
feSCEqZwwWxl/k0W1OTMB3Zgs/lPIoc2hUaVFpMTZ7WZf+SmgiuTMFH4CEPmIE/S+TbOZnPjgrQ7
G+ui2Xgl6Sue4hGAuQCwLAjlfnBhkyvM2ABSY+cuBc93TZiwDf/LSs6CpBZLcni8scGo1ph29r2U
PNh+cYH6xVwHuS+uwzqTB7r79rkfQpzTFWGpgaytTe4N5T4z52qXoYB67hbkKwtNve4bhnxrry01
iWsEH+2jvhDA/AZGQ2EToOY2R/uyM73yCrcWZb9P/hwGDCMptlNqlA4cwj7bZ2nhfpGpoolT1uEJ
R79XknHjZGeT4U/fW7bj5609dDetY4ykt1Vo/NfMs/mmY47RS2dSXrJjx7eKaZMNgFUeM2sifrlv
q4shybPrSsn2ymvG8WDXTeSvY9875OOszwaPRECEBt6pRF50kXSYR52wz7+mBdOTLRmt9YMDa2an
VJK++DInsqFyGcnC+aKXRFznvdtUTzl/eqvrkvGBL2cyo5pg7p9NRhJg6oyGlNqqo5bFcNeu66gg
ZSYBc4jfIV6bJdN42cXbNBffBsMnw5A0G2Rmvt1sCyT7F4zvyq+uVfRHlKZMO3y+gTRg5/0kIXow
eGuvLbNvviY6Zc0mazknDNDXadii3iG0S961Zle4zTeF8IyEN6cYo5fIAHHXYhlDoO+0Bduk1njB
s1JcjLISl/EguztY9P1XR8fel7DzIRcvLEWow6T80fiWU565yH6KvDgYypmOzFvJichV/zC1kBfM
NCdL0ushQCb1MrkcUmtNFYXgQUzups1quhqiDgDo4JTjV7XjwSkS88IZ4gzEycA3g1HWhE2n6xQ5
D2kZLQrbejxYwQKx0dAfN60jSpaziWwm9KiCSFIpYPL4I58Ri+4QzyVdeZTvM2JbYqZ3fkpWTcVH
YW+bVXus5rj7VrE3WqYjGfmtOVdBe/FTIJZHmY6SeRG5lSAblun3QZk2InMp7GdDVMaLQPpxHnjw
2GQxJ4QK82dHZ/TvrCJGgN9J/RRUTkw5afprJvB3FMbBtg0UbMe0vlX2fcjMFsEzy2uQBTxU+b0p
C2ySBBa6PVnjiVvMmA68HWZhMo0KSBBgUvLVSHGycd2ImJ5CQ/Bgjw2gYXEfjPHXNBNRgQsAJXEX
tSWfyiUXzRC7Tg3fgbb7e/byzrpmaLBLgV6t01whTM+JRY57a4XXZeeB714D4TA2bsDjbCajdZpk
ToyVBR+JPxyVnbcXU52u8nzK9qBGx0+1IotTdF54kRT9i1ExZqhnYnVV34tjTGN329DNOsYoS3Ek
0B4QYw8rqNLdvopa82vagkthj89Xh0LoCDjSAdAa474ZWmg87Zicp9a4T8kdXNkUXGs21QpD+Xg1
IEuCaD+qg0RTujbz3mNrUhEMhQFFUApej1ZjMknDFeC1zfdWG+W2Msp5byk8JXntP+nJyHd6qhTy
RnoHM4MPIJ7krhjPsXJ2ZRBN1Cn+JazIY27UX4Z8vurS4Ago467SwQVLLg0j8B4npecX/GX3lu/f
uqLYV1TT5GEQemzG+NmR2mMHJJFams161ovf3LDkHb5iAjNK8XX0LQorI2SRj8RZpnS7QW68S7CZ
jMwAcXGqb3nvw3XP6WoD2WNHEA5d9zDb87eRQC2Fe4HZbxYP68mfwgcTuzgBXtpLj+h3sFZNE8ye
2N5b87av48exH4GwtxGuszvT6zuEQTVi6ib+hKkjQs/vp2td992jIbS3HUkMO/TsYc67DisDqoLl
NZ/Mo7Rj9xGLZcFAqVaklUaDPotrRXt0SJbthOtH474cLEpoNApLxr2az4kUMPQuysdbXNP+37CW
IMYbVUZDZ5X6+Gv3oheDfWL6TbrxqkZwcJ0Jvfw9UafJM0gwhfMnQSt2FgKp8Rm/p4x/6Wo6ZOmZ
JPJgD8Pvv0qphw6u3bnGZQuoJ940RplgckD3iBRkYMtJnvdadyL44oVpgExT8QJyVEYMOLLYiAiP
jdRGeCXbopDHvtuULC/0mZaZxlR2wZcOQ8Y2MGr2GKWQEC7n8bLmG3fv1cF0YZAZu4aQa2zbqVbm
ZWLIuN+2S/B93rksS0OT2Gtir9mdEMDdf09mMVwlagLQbaXzzgp1eozSIfgS5gZN7tBxrVurke0W
5yA7ESaw5lfSbZW8aKN+2fL6bTmtI1k1xAX1lA6Zocx9Zdn6jNqeP02CpQGclQ0641kkdmja2V9B
Sn5SGdaQWFP+rZyoupYaYjI8q7OiIm9o5pN/JtKGD2ljB0fUpjQF4FRcEGNKj2CZ1Lwer68cYzuh
HDkLlM3MhlzZvek6+ePr/4QwZNCeim1/6Sb+3pVyPkBIr56bvGUPNmpBl8Czh6thpuwx2Gwy65kL
9clPuZigKyR28rbevTaKSdtmjDKW3qZL6RtneVyR4xVH/t7w+Yl5NKRHLIXFXuWyeSjjlhOIE/4i
68iMKg9zq4wz6zHvTO56kZr85mHUZ1oW43U6Uu/OZOsd5rSbL8ZqmlrCrzkvh8Smz5Vk21f3UVWu
5ZTUe0o19vZdl7l606fBkJIySVeE5iWLwWJzD0yoJKXTy/osDcw85/k3Z+PcL8PqmeZfvDfThI6i
N598rRuIY5nf0pKBggLVPZzLXUsgh4OzqjUv8XPLU5nMTMhmSfMqmNPj63NnxMW86xPugD2DTiW9
aL6JWvxwxB0uXoAugrpnMDymKcI26ybrlmuSdUzZLP4j92q8LN2ey0aTcr2ECF+Iwir2EDbbLVb/
+cIlmeUKZJu3KUscaMrhCWidxQHp98sfzBL1KcTFS/wStgKgGvTz3crbjJjwHnOTfwUFgj5zi+W/
LVuulqVGHljLdqeLnj+0ReDlS5I7DfMxIo6ZdLmWoHi8MNZtZFBeW4Sn8kYuG36yIYOX2XJoKiU8
TfbMHyXOp3ymlViAr8cod9cKiCC+NQTHHpDAcxCZmJvRulUrI+IVxjHCbHJog2NQWeVz6jaIwnDi
2qup6TMT1UAWWLdsDjjDAonokiEZplTAaBf2fhGLc/Yt+qH1l8ubk1N57EouU9+U4nZIW5jSywsr
mjT6G8169UyiBYfGI9IfSbEMzlparuQNeUbzPBPZEJp05Nqaf8/XcXpi8f3ayaZfRxbJx1VbfStM
zwfuF3j7ptfB0Wy5O20b8LKPvIFBN/l0LAp/3+q+3Yalwi5HC/yiyvvgix7Qsq5nNVunLBTWVWGr
4Cgzm1/esvORm4LlcG/akuYHY1FvI5enYAC+cy4rSUsBbhDJ0x7ivtXgdzwl7mx+Dc2kgkfmGYTm
RBXvdKllsCnZnaIAZH30Ha4UnFrj88yG4MUNKk7Yb5dnUJsE0rqyCo6IzJDGe7BhD4bbeRvXc9n2
eSrqv3uKfTKxqdb42BBe+jT2HlOohoJc00qtwm1EWcGXkQSNc6vpCzzzbfc5Ngfv76p3ghdsNqiH
JT6vVTjwZXLiod5N0p0gSgLfO+v9OviSKCmLVaOh4uG5o8G9wWdeTj/az/+vX/+Nfl0Aj/pQ6HDx
3DTP36KOKqxtfhax//Nv/iN2UP5fiB+Y2vFdsBlt+8wR/hE7uK+0VltKBolqIVRBbvlH7OCIv5aR
KuQq2FaO99oB/0fs4Fh/ES7oE/7o2QofjPlHMva30wWPIzDisxHRc7B3MzHfnpSRVkZFFkf2EpUh
3yGvDBbF2fCHE8XlSNjNaB+5igm8/Wb6loFgdGhuciRBWGBuVk8VSNYVkqLuz9QEXC7L5Rh0BBxX
MFRczvmncTs6StyL6IEP7ZB2rC/mVdMjklb1fP/xuORfLt4yTnOQqyhO661QpHczyy/1TF+tSV/S
LH3BrP6S8P//k8NI5vkud/zdPcKBiWRBjtWB2Cl/63uAKxcJwzod4//g0vGsoqVxfYb61ut87udL
V5m5U0acUU8T7Xyk4UmrSXjnGj/Qxye1TOR/HvFwk9DxgBDjPgETejuRdHt61IiJq0M0UHiobrqd
wvHeMqb7V3Pfxwdb5kXvDoYfBDUE1Tkz2F+fCPYtJe9mWR38umGhbnJ9SCh1SQSOn5mF0B5w0J2Q
ud7++aPoKceWyGjwO6m3I2ccsRBEo6I6VHVcfurQ79AwMVIYH/zTx+f4dh75ekFhNbEqkITCW/3r
Oc5d0k0x+QUHo8PbRJtx2uLJCD59fJR/e+TVT0dhyfr53fLYkPcGQJMD4E/Jt36873MYX/gn/qNL
99OR3qwXAzqOkvxFHpCsmzZqTJ5n5hHYvX73er0behIzg5pDoXVQCnvrO8EMjnzKzyY9tAqUjDSa
csUengmZ7TzWbIMOhs12lPGa2EnqPHIw2+Nvruo7nBUXDk4hJj4m344QbwUsgHell5dVfqh6UW4q
CDDMsap2vJ6dfCLFwSRw09cWJg0pD6YeSzC+BBnYtVMcIXjQeBpKwB7eCExfl8XwzY1i0jcXns4i
TMLanr4w2bDPwtnqLyqXNjWdUxgkwi9rMD38T9AG51szHcQaSJ48uAC2biAfiIfUFeWZJPXyqc/7
CW3wKA8B8fYgQajahoRXKnVHFa7BvgD+py3tbfoaogsRl8W2SzMCwxi7fWqNxDma5OZ9qwM+NFar
+O3K4iiJU55oj/fJOnJJrIdsm2GdSlFzxw2/xxC+85wHnHRKq3RX+mEF42oucbk7RKuCygowB6Bu
Gle13dI2CnS1q81g3CY1hZnBOHmdm5zdnLN2MhZp125bCDwZrG9RGON1VnyFGIBau5btEQ1J37KP
DsCAPQyZ8kQ/FEFTDq7GA9qFvM8UD2HUy9MYWslTSBTuvRpSrJ8NNKpa5eIh4NwXNJIFAix3upnf
1IPnoUfnt0h5CZlcjcqhiiWjOrtvBobM1NP5DSV5+xRwaU5RUldXqkteTAAl6y5R4gFJ4MvYDMGn
Vs0ljILl1zcQiwgZLdOdzkwcj9JHSHydxBioE4afZ3xU2jUT43jfh5m9ohKJI8I9u4L6FXnDysEa
eRnSrGYDHxYvyPCtS6ZEXMQuk8VGGIPnrV7fvKwJmVOZgXfOjKrYpiioH4IuYpvt0HPK6yr87M2C
UwrdOH3yZ4pvLOy0yMk8AQbdokBZl7NW2T4uhFldWF1f+RsVBf1jFFSYZYXV4+FkqIsrU5mFPjfY
rj14RiE/j0Wav+A/KI+c47QtWhZvWif1waFBcF/ycn+26a8na6kZkqw1vMQU+0rUl7tuxEyqx8pe
kdnNLWiDMWW+hJYB6XiYGjQNFT7zWvPaOWxvaUbzlZ3J2Ni3vPdEW2ZDFd23hRH2+84rkmd/QN5N
Hd5fEFZskffjMx1ogHfcDqSjPc56Tvey6tpsh5xRxLuksuW8nRMoESs8FQOs6TG1vs5+1fwtoEkx
1goma5MNsrnrEch9IXJNntwpYxkHqyRJmDDsI3qtGJfcwAjISrkTMgrTpxrU2xHjWrHVYyPW9Oxe
8Lb45xg67CM/hKZSmE8bY2pAckW5ii5D3GUAbjN/nxjcoc7m60vzMFtHnmb3hNjgE+lTjMwiOCbf
i8qXhyJVC+iI7OFzOGCPVTPhXiQ+CHJAx4MwM5w4ImSnE7WwH43WXDdWtvd1+L3ttLuJGjJHa3Fo
yx5BwhST8amIlA9oYfI1dm+ijpfSKvhZppX1F32r8canvOeQL+FHVW76AJliPpn+uGOeswC1x6pd
50MKhTmNFyZNm/FQsyrCS8iqaVNAwriyqWt3tcFbn3bYC3t0FiuALNN21qxutGrJbl4+/ZXDeYs8
eYaA5F15QyJJEmm8G7tfmH8hNAZiHO0jkVscjQX1aUHlrc1sKjd9wenLBoL4ijRr/6otuuFbY2h6
cGHDmhM5qXdjKU1Ci0mAmGSh1Jr1A6SGezPH7CYFeoNNgOidqaHdeTdBmepza+hYyV6LPeYZNTOt
vCNwKmERE125UQOHJu9VH+IGar6wrOFbJAuA81lBvFhj8gSbYqvj7Mqu2nIXDbbHTcirq6ZeSnuy
E0+ZVfEwDTU4MpxjzjolrHMF5w4xCVRnFJqsuggkvrSpZ303B1arfnlGJDyLyzRo40siHMNdj1aW
NY5iZmUYrbxMQrlrGBmt+1JjZAPKDtiuJBl4VuUd6B7/anaDgsmMq9d8cId1xx3GDmTC1wr5Gnzu
4V+xgy4KxGVdftN0rD1GyOox+Lz0aY+stMfrsLOZBq/Coo8v7UCYX32ra0+EZlISl92VlzbZoVFm
v4eg5u9zPzQuWh1f2UgKH40kaa6mMWovgmR+iE17eCCoxtt4EPQhnVryMCOx2hYRdpLK0MF1ln5x
a53DNIleyjAI14wQ7nif73VvMq4gqXYbhTkzKtOurpypYRpTIiFhcf8KuR6tgctHD3WMc2bEEfKX
gpVXF6w4Zu5ZbPktunEzt5Qg5aW8UU5T7WbuwY7tH2MhNbokLjgFti6icg+5kI7eF5G/ElZUkbne
EFW7ws/KYpawzySYkvFWvmjEQRwONWm0XkXIewGGTCN+qMG6ZJUd5ys7pCtHw3io81WVi7smF/lx
qG1EiG5rVuvS6+ojxqJu01n5JLINPJrSVadpEHQZ+fhkmvUvB3dyW2OiHDb0AiOShOI+j464Z2yM
IPRHeu/o9LSXVtjEbExGbAd0Rxaur92XZiJYduUB5v1eSQWaMg7ds9FzK4uJia8bqhsJy74ZWdcn
z02ZQra6ba/JyMFjkzidjyHVC5NtW0XaAUrVWWSiNlbz5EHRadf0cz4NiT1CprQUnAzqe2dB8k39
sciI36L1+tXxOmQCSbIyJtzHDlFAOwHaccPC0d/ghzQWSYuBIsAlSc9wxLTnPRX2qkxQ4nT4hw6i
7trtWAfPaSTTrUv4zlaY9HexstCmpZVH5l2DyGIMtbkpHNFhUSOe7pLXNfwWYhToVqnVGKvMpTMM
R9Q4I2bA9HZumLO+AcJj0Q+pTtiwYSIfHDCXJFZH+pB2A4RQb5K/Uzba74r8pSBGHC+V65q0Lt5s
l6qFXeEhmzhEee4cSaHKX0obU/RqaIeGqR4SixHCW8ZlixLAZIs3dMmyra4qi7Iq1vkzH67i6Ina
20yCrQ74U9gL2dTJkyNi+BM60eepAn2CURFaW9sFkiwu3kF7ZKe0dWCifbId03m2FQ6Klc//2YMN
dm+mwGK5DaYxuzfjOHl6XQNBQ0F2HeaUFIaPK/N3wBE2ByatGHTQEt6I5bzZ8DTzHDpdY2YHRjqs
vWLA4Rh2jBs8Tc3UUmZfTrbBgFPM1FiprwFIamYqrZ2T82j5v9s3vxUQv/4eGjaWS8OI3sMbJa8b
AqKEPJgddG7ddyZ6uJTvy+Biycm622Dik//xFXi3UedhMNmpI1leVLlv9acN7f88HKqMYRoFaRF0
0MYKSpOiiMqTQabL2cfHs/7t6TMJ+lyysm3b9t5sZAtNseeAcGRxpaO+YsUsCWJEJ7lJeLCQKfvb
FG3blZLecP36CUYYC0Iwgpy0i8BHksYBjrGc634/NtQ4H/++d/tsCBJEgkouC/YRTAC/7oBbsghI
vbbig89+ey/x7J+QZP3uHXzXseAoNCqEsl3S29y3r2AXd32gijI+KIfKVYWsGkWlUGUI8kNXKi1p
9idU7nS/+8ePT1AsF/iXbolPfYBd1MNpgBXq7V4UibrT62yIDvgOwwBwOLBQg0TCp7yjLmV+LKcr
3wAci/b1PiUJmhm6HBgW9gR/tGVBVjOLHca+mrm2vQ3biloOq+6B4tc/T8qi+bsOlkGoETTsGl9/
/f/3q3/Xr8YXwqv7fxvzLuJvURw+F7+0qn/8S//tyxN/ORa+uv9FrvxPq5ooMgelO6hUmmd0xhXe
iv9uVXt/AeIyBWG5qK5pJPMr/rdVTYLuouBml8lLQ8zvn6QrvFn66GxZNowwd4HE4BR7691iwkV2
StZYpwK4AqygHuXmeNCSXTojskIB6o+mvDxPUssYqDexDTMCjZiyN+ASnt0Y2Ze1mcxkqU0kgaOT
Bk+4gJBCsch4/aDg3UK7ppvfSNrfrKHIlfjBHpfWZOFAdrP89z+1Vb2mQ0apZ/zWoTneviK4JTXS
ORAk83IwFnDvT7f2+sfL+rPNjS/Bry/x4qbBpMRHgr7+4hZ6850w4syuDCK/CH2Erty6RrLOej71
+8Rxwtok6dWoD5Y2qy9g8Jgerjund50DObF9sJNhZJVn+EXYzc+9y1UpVEATQ7QK/CzobBuMLaPo
CBfl50xY7bx3gqI8JY0FH5eGCp9sKw20Iq4dkfuahEzwt8AeuNaGAqqM6pJNF87k57aoALwltceh
wKbDZoJ2vFT8MmACPSiDloDijlDZtk3X7QK85iiJY/FZWzYPwWCz1mubby84bQh7cwuCWns0EdaA
taFBoXMHg0xHBcVA5EAtewXZWaBPkOy6DefW6KT+YkTA0MNXCPYoYg9GLpEGX0Q/AFFTaDiiqzHK
+UWvPGy+stF4p2sZzbBZDWF9FklkNScB4UZczik6xx0KEVU9CqJXo2OrG56/EOkBvSxX9rezLsRn
w87E+MCoEim7LVquXPxKcp7YM5VnuvIo73rynud1oAwOnVU9v7bqUL1uYTlQUI1zzbjXMJMkukZP
SDuv1AXy8R+ouSQt5DPK8uC+m9hw9B1aO9B1KNI2daxuIjo8iLaamouEoJq7oBxGXY/RwLf24MwM
/LdcR/CEMl7mrTFq8GEzyraeP00zEVvrXkhhneBCA02el1viovtnFB2n3L8KWK1fGzQ2YpC5BGn2
/XARISS/MTyTrBK6U8gcQ1ST+AWhK2wbpE0Z7By6Gyut3MHdlBgyt07ghvCFagsE6jBOn1UrWkLB
fDZGeRIAe51lVz6HSSsvpilU90bvWpdDX2XXgCHIkaYzcWBn5XjrWBTucxGm/UNloxTbWTOPbDQw
XO8RC3nrKFkKasIE0SeKUcGDBtPg3xuIndsbgfEGOEAPw3bVa5fHa4hzpa+Qe0l7R+QVcdfrvKtt
XI+T40WzzZbdMdBK5mhwV7FNkfAyJRNMcv4xT14w0oy3cQ7y7wcyvwx5Rhrm/92abav1eRLLnSdl
qlYrA7IKAHVy5+hhuiVZ2r3g5UJVwEuZViW068ZEqfz4ymzzWOI1yTHQcg+xqITapxlEcilmWpLB
2LDZ7qGc7pJAjCQvyvrQLXF553axgObdsuModKigGlu8bf52HBOui+svJLiOUAHI+qnQn9N5Nox7
owN5dN4S66GvJ7LYAlgzNsvvTMKVfxdDKElvA1AChzE3dE0n0rbPZmQXMMFf8Wts6LiWozmwC/D9
11gCk/FMkHlgox1WlehY1XiU168Pcjoa3DjIerzHql9eilY73JFxsFlDf8QLdIaF1sHyIvU4Zl4n
rpLAZ6HwQusViQEfPFIejX5vEd/gNAiT8eAGoU6etKWHEMloF7Z/2yQSpg+aFcKK1gRxS31V5kVB
YNcYGqRQullogCFKLf6SyeN0xEXCPW8zDTwe8eL44HVBnX6XbiEEDaAJPtA2x64mrnK+PzPxOl0S
Ek1RCPRFK7g1pnkWCaJ2wagszXUjDs2neJwb5EGhd1lgaHyUfRfQQ7U+uX04glrKy+6OHAJjm7YN
LpOygo7ahdGZnfnBhq54jDAs7oeVZVuT3ETkwB1ou6jhvHQS1CH0sNnb7Bx23wXQnWrCm5AhGq6g
9t836GvXdm4+GfRZSCXPaH9NJFvH4IW8g5WK8GvWBO73EUrsClFCcdVmCtSerqdtionqRpVu+CTt
vtjmfKSAQjb2LUO34slyonwnCpNejzvnqKOQ1Fz7QL/XICvZLAq4WBdxFWZ3ImnIsTSbFlVTy/67
H4FJ6BA9YD5UV3025+eS9sK2I5r3Bj5p9QQCN/rUO9n14JpjstdAnXf1VI8o7Mpi36Mn/BQ2Krsb
cqcJdxqoMAAkqoIsrWfUjH66Q9iJ4akesEQSeMCy19vlZz461WMh8yraJHNTEJ5jlg+RQtJn8emh
yaIkoSKYA8bLSo02UrueoGNSTl9ijV4o6xznIOYk3A2ZEJcybFxnEyGhnVbjRDmwWYRmdEPzcu9l
9bRMuWyC66NR7EJp3SRBWe3NMeo2mnN8TFJN6wftjDor2A732yl3u8u6dYJPgMDU3iAufScRDK6N
xJi93TQpdWkgQTuxYE8HsygmjPaWfzajz8LdovW6FU63hlqfHKKiUZ/7uJ//NkH8nwDqzSddaD/b
fFyhvCvm4GTS8FkibIH5stn7tSSqy9yG14GMZmwrehnF0lMdoKfCuKIfSwRCecIhog8fH/XN5o2q
iLAwiSBYUeliiF2qpp8KMSeYQV8P0j/C2Kq+AFtiYajaBR358XHe7GFfj7MYfCmXgZSievj1OJhO
Vdf4YXB0aFKzppqaNXsB/8vXqJE/P9gy8uVyEr3D8P7Xg1m8w0ZIEXj0Fjo+PH0H2jv6gFfK7MeH
el/Isin3uG4YX1Fcvx2k17hqKgNF4dFG7XlZdJTektgD2nAtaHqXttcfHw97LbwGCzOwgxP2zal5
Ja9tlkssBVFw/+MThGOQL4YslpFG8xpc8fExl8v10/aXe8fJLVZbGCDcvLfF+pSHTuvr1jlqVVBd
/YiIYUHlC1yMi+TLQd9ir428559NGsrjHz+kTOEk19nE8ysAG/x60mXh1OYIQPfYdbE+DINhQ0Eb
ytPHp/n+VeAoUKAxhTP9fucrzgIxFAEohiMadn2YYrDErjf9YbdkuZiSDaUn5aK7eDdbVy3eCWlw
Lq/KCxUzvhGE3P/5YyKhyeDHZrfDdvPNFUtrRrNo3+SReA5CMl752v00MBBH0mFdttXYz7/Z0r1f
v1jTWU04LbDVHPbXm4RxIpgGcLtHQnPVo4WbgNloTynSZTSoCpTmArn2Epzx8W17v7IQoYVkxuJs
ffHujfDptWNxkuKYwj3fBjDsTq1CQzonyvsN/PpfTpGHA2kTNTjqlbeLpQsikEPl4jjqKCd4hZSm
uWE8mTlL93nZwY3LU/Pn5we6xEPYJpFjvJWJ9SYq2Ajg6jFTyFiKHMlCZnrRno0OC+nHx3rtov36
qvt0J5CAOq8g2Xdv2jLzNFlPGJU2vrdKrFyiGMXXeIuDUUP3QrtDr5kyeRyo6xi8Tc0lUQ9jsGN+
5bC5KJkWhmDJLYJfqTrnguG7l6oq+81leb/w+kjn3EUvhYLJeis1K2I5kIsQ8ITn9Ewh48TVl0U2
3ED/ppuHpZCy/jdX5/0KgciQt2ppRaJze9sHDDP6JWD+ecQ9g1p39Gz2D+04tsQkL/hlhNnL857E
1mXdZfWXvpcg0O3YBxbfiDrb12EHE5wqKd63E3zKP37r6UajnESnBnv7HUsDz3qEepq3Pie64DIx
ZfJkhUzKm8wuiPCqzd+1cd69e4gKl7eBVg6PKFCGX9/5GhsaRf80H9HoEgZkJoxEprrgMR2X8cbH
l//fDkbfCKCq8llq3j6bSCl8M6z96fiaOkXclH9uNh67HGlWEO8/Pti7W82ZecBsLNNevnivQIaf
6qI8NayqCczpqALJxjIkNqPBqBWxS/z4QGKZl/zyyiGHQyzJF4GTU/TFfr2GmR3FoyI/iApCR821
yR6uWxte06Z3AUan5lQlPZ0QJ3TQmQwRUzcip2xNL3n5DOJ+vI3AxWF5G9gsMeybqx8pWqahaGXR
9bKJplqig4YaD8T+NberLUq/zH+zeLy/P9DBYEkDK4FS8a4Uigs81i62m6OYmR8PTClOOSPzfWiS
0/XxRXv38isJNEY5jAJo6b2biLShKdp+jPRRmySHkQLO+dcl5icDJ8kJn+Rv+4dvaiB6/oC1Ba8+
QwAEyG/vUjHntlVr6RxVPTrfAW33R2Jo/fvXhohyG7o69ZzhBhtH8ZuVTrx9ROC/MfYAVcORlxnk
ktz7S5GeITBA54I73aKTNG/MBJJwsydqqyOgehgD76uy0tTZ9CXD3ks/RApR2BrEu2iJQ1rh8Jxu
zS6nizinS7+m1u6yseiAO6+gy9hnOldNsu/4+9duOxkFf2mI5cFHD8SYOPXs8kYmDTP+5fHKYGNj
Ym21VR17nHfNSqgGG86wBCc2/8Xeme3GraRr9lUafc8NBmcC3X2RcyqVqUwNtuUbQpJtzmQExyCf
vhfl2lW7CmhUF3BuGmjg4KA29mBbUpIR//99a0Usb085gyPyE5+2tCBmBXzG6IsIgTpUeRuZNlwa
rzPoXKbetZ6EMe9rH8wrU+wK8L6vLPOesbRZrVvf7UMago2873JaGETN5Dxu6knNXKDn9I7etFg7
Q+H24E5FosJq1avU7Zh9m8NYv9lztqSqC5ExPOqlKMQPMB45Q3EDSyS1S7kMQ6c4T67DpPnfPi2w
+ujVjCiJ7IRRcvCGnFtRpWb+7qywbXwePikIMXkJi+VcoySftaQq3OkX03L6ezmVLy7uU6MxK8aB
oR+lxnZwJSVU1Pd5rIbu1hK+QRclfT7dtShl/ljPxEk2Td8JtWMFqR9zk6gxOsw6fyQEgOGPvevM
hDdz55844nvn3CixjKLGgm+zNmFT7fiju2/uyG/3SRJsZjdoZc79wFdzsQ/2zOZSyjh658mJX545
CJOrbk4YhAflRDv9t2cTMFtEImuEe6101htPuk75pVU+89aiAwqSb5UUdguqdRzc7lGkBsXWnB+X
5Mp9lVqHmPyR5r1B5G4YGugom74bjPUsK4kBenFounPMT1BFwY3UpT+m/r1DxX08/rZBYkUjzoLR
hJlWIPt23uuCO+yKbTlTRjbOunkWlYvxJEhRFpyrhHj1BV2Wvv4+BzCzx9U3xx6jhsRjC3cHgsqe
ThGDkEAxbav1rxDf0zWY6Sb+HsEhpeQ3YydaPDuZhWIhSjA2t31LLvv3x8pbInPm8pkZfTsL3ira
Zw3D+Uk8Cy0StqC8FTHUUXAmeOq5/BSpwFvCZoXLd8pql5k5xPP+nXDyOOw0wcTr79UM9Lq3yLWX
g0TscLYD/knKU2TLJLZhPL+SGdcf2C5M4D9ff77XM2RMmF35967PPmIFeE5nFOtysz2R8+FjWkqD
TUMxOXxhwVZDsMhCK05vbaX4jQiT2clOFlb7WM1C6e9wjGxjYNDj5vljUIe6P7u6EM9ellXOum+i
dPoZGGwytuTFLec2CckUOJk4G9t8/ka/5H3MGoDeZsK4gp8Vh20OsUyns/2vHMyRaqxckGIscQta
VNi3ooigwJpHuEt9tmmZ1k+FzeaaCdocMJIgbXZXmqZm1MaEvAsYkM39kI2/3/j/f0/6b/ekfGr+
8vrdvHVv/w0VRdpNl7fy5//87+e0qn62dff2z4vSz3/rz0Vp+AfXTC4OrEOX8gIVnD87PaH/2c6h
O/a5C2V28Y9FafgHvFP26oiVl6ubz0v3z0Wp/QewPUpq3OoWo8R/uCgVFr/KX09ZZgjhEoAkMwx+
g6b1GXn/y3nOJhZQdpgJT5Vp1Inq13hYjI0WANzSTmi5zR2w5qvJhlKyozko7K0nO/un1oUPRWhO
K/ZMU3vWRKbCmlQ1YTk9F45DW5zT1WZsxXscWPFLqXt/DZXQ/To4TndWZtxdAY8Y0S6tM5SANVFH
6EX8zfXg6VDuDdR/h6bLqpOf6ZmAq3srms5+N0Ynmk5so0BnOJ7V3Q8ZEvEXO496/76dFf65HgQc
QG2ntPsf2efy1mo1uzGqdYtGb57akRd+O23sxrRJktv9K2nOkV1TDzHrnNupu5wFSh/lHt/bpxjI
u7e2LRLHW4lL90UkE7FC9l/zugH54R0dz21/+E2tnjynt46t3yV7S2c/Cs7l29RPEU+ZKkU4wVh/
n1np85Tb+dXDyJcd+Efs80RgtNzA50oPXWV3zYpksr3thPGmwTGtAjMrxyNvC14UVWhvFVd/4pIB
JGgGlcrdzlwzH8FmuechZB8lut4Xxx5gP7f+OUT+Wwb+k1xQS003WcGRGoZtwOOWbrHw4Xgy+02U
fRvGJtkatgVCgcgXXwM5rFSvK+zQdQFIwGcR3pcjSlWPWwBz/mk8dX0XY2+MZbL1U29+VFXspCZy
O7YzuUAB36G9X1ndeJiATlXUHyeIPQ6S910wRdHBgVH0Tc5gDfEwGPNzWKDOQzYy+ukBj1pQfEmb
oK9eYsh3IBd63rHa2I7gZXBGsxuZzPaYxC6weVimbiregGM0Md85SB2uW4TbsnXWlpLOZSbFiIAi
IsZPKvvI7PoxSCKPOi+ckzyvR1wgLvQJB1zuOkENR6C6w7dQzAZqzda1xm0xR8O60VCTKsN/zrW7
KV0L1lxzdqcgW83A5v20XhhBat27+d7RZXTn59Wu4mT6YhjJTZPYwp7G75B4MnrKYXqFv0pV3U+j
XTRMT0zT26NqkmQ7eyq7V6UBstp18l0XKesuNHje5xxnt61BqBbJbXrnMErajUGdnoximo+m4qNp
eYX1Ek7W96qDU6VE7K+ypDNIpWbDDlxU1wE4gIPKqey94TRx16ROfFJsJkBDleYWXtOe9dm6dWS/
cyBw5SwYN+liIo+Vgc0DB3ACdzj56c7qG4UIWr1sHyjPmcDrnCYP1vQVxw3hp/i+WohPjGDlXmXz
U5caLRbIdOFYuYDDm0xc+d1nJ0S4Bng0Bv1HAh5wUpeMdgAZhoxjMh7gnNMf4QVJZbw71EoRXHWf
lF085kF6P4uIc2lvrjNrfk69bl+bLUj0eHwEuXHkogJ/wpy2ccZXP/aSdTA4L61S+2DC9m0ZGj5/
r3eNLLrtELFMiyPni0cyGRs7JGZRFj8Lx2ywkI4elZqkf0qN6hwoIdZhB3FBsVbWUxqcHUnePSs1
myT8uzAWOA2YPf2WUjf4T8Nh5GdLtqLi++HtOffA/klwWgZN8TH7EzEB0NZ3Ho/Lu75hY6YjO7sk
YZcdyEhB1PJTcYsTdUMVvwXVtwnmurpo4BBvxfI0y/vIl3SQWuMkpeU8ppby7mqJeIhvGEcaLUNy
ysk302g5zlj6V9KhcIj9litKqrBHiwBdJIvLO1Jr9rblsX7r7HGBMXjhMc+wvnrNjTW4ueMxAWYo
M0YfhbTXfeW50m+swY+GlbS77JJZdO9Vl3d7k2/UzqxVz0bLTR5trcNzo03SDUYHOqh8bWPgbazk
SFyXu0oplDMLvxNOwiMFf54u5CbpZ2a7zKaf7oJaekuc9JLbCW8HFa2pSVCjzzrc9bm3s8o5ekIq
d5aGatZadNkLsZYXNw5TrNXDWzuH37zYOgK0Ad8kerkriwIcvTXuWhgftZftcVJT2c6Uc7FErPZj
0HxUFMy3cCPag9lZzzLyc36AczYZaDZxxqjRvCTCfuxDeV+0yRcvtzCWFTMMFGda8aTdUpn5DuCJ
1auDxGZ5lkojuAatvW/TTD9qvnVErIdYrXmMBt/zKBbfCjfwNo3t81EzYNHB9oZSMIA5ye+4HXc7
d1DWCcRwsIL0m7I2D8EH5VMR7EmBz8ek7g6dzO6GNMr3XWFCCg8NyarSAOiBRmOOQgKqZIW5Fjq9
8+FgLeGBTar3MgFBuyWlgxPOb9S56Bek2DiAmcnc5F1qtPKj1d/rFJlFNRYvwhnQRNbncJh5sWYh
NZ2mexqYg1KNKz8GXR3CYPoGH7TYDvx5CA7U+RqNYHoaJvtI2ETsnCQCPhkDzrho1ykGYudAb7B1
iJObujEKXXtatX1sv8I1k5jeRV6tDJazcgsznew7Cu1rbAzkoesm8dYd7zWZjtUB5ly2gZssd1Uv
+3sLQzwpD4vLS2+m8MuMl8QYl9fzCAbTw3IVuBfUrtYXwhrVgxnLQW+cqXBI6k5z1j9WmREcwzaf
7/RgvzjalO9GMxjxISrJRuxcf7TblY1ztVk5Tj0NB96z1nbowo/SGK4i8UmoO2P32LrVdawMgwuk
cSuRvj/Q1f26VPV3Pe7cOzV7X4PWKZ51CjvEIPzC4HIA/lCo7zxencNIVv0tm0WzJQfVHG2oSNus
HpK9V3gpJHmZr8vc4Q/bDq8LBm0LY8E4x6SVvlAwg186tMEvr3fjTc8af+UmdvFWB/705I/wmfI+
eLVzV67LoPS/+P6cbgxgT2sKVtlzFQN20iPD0xDr7cq2qd1pZ/kQ8Q3LVra28x1ECB7IIb+9mBvM
tsx+yCZ/n0zDfwzDavhqtwMUtT65UElzqR3wyvYzKUirp42D+kg2zgqadHEiXl0fsr6HstNW8VlY
xaHLI9TQri+3LDjqR8IRCnhekPQ3Q9nBYfY99dWYw0PdTfoZiLKzE2EKEQcRcXpfdd0PlQcfPJ0L
upJeuOEO17+kmTh5FUApiYt2A6Mz3VI/4gXB5XrTWTawCtdi/AJpxyJpYadQe1x1n6FEWRVdO92X
dMIOYy007H71Af9TrHtdpOIq5SCeeEC2BMbQx4Cf7cYEzlQVk6tAnsrLqzWqV2xw9in2JncHRCz9
sjRqJioWRbCUCib7qUxs8c5AxXvH/5OAo+riEOQLvRrG5lvmXvnOos5G1olGDL3EO7+fDfy7NAps
DClcVBZnSdX0QG1Z1ZecPCh0pUOMnSoSzCVPDRmJXV4O8VNocBAVZw5a67IavjThfCTW/oM1lrdX
0p/hyUoqYlG8hFNqEFPaDVe8JPd81zB3O90K8ibMqhrTmnb67zBoaSHNErCkjOyNW1AyaqDrw76r
D4nzyf5D2E3OrTjYBA1WSZPRwDBH/Ob2JUsym5iQ1+wL6QWnNCmJEXbsm3IQg9OMumpQzWOD6Gtv
ive+SDgwkYfYYo5+YepUrhBkYy12cK8kUm5at6FRkkUsb6dqi9f7gGyKUBf1uBWLNbGuDfzGqTMA
GcIaVjepuyJAOYDhouI758n3MezuYV6HOzPgS1yG8oUqQ72FokAyKC1Po0dzKhMBITrN0ZBsm1NQ
eZS8E4v6WNfOY0i4ZO/F9kdR9S+katwHw4OQUnJPQeI9wdRkttDIbiMd7Mi2dJuz0ehh18yG9YWl
GyzuoixfdNcyQLEyXnWYvFlONbjWarIhCQvVlZXVTNbK+YXiJYkoclrrtI7SH3kjNkL7M/0yfsoh
muBGcrAQ6SB68UVxT+XLuTQOLdReVb84/LYoedqtyOZ6nRjo07QzEHVsk91c9OVL42TppqAkuqNp
HG4d+KscugN3hfa8gNDLw2Wiqr0LTVddvCB6N9sm3oS5Jo8/5vqmJqKQYeuJ9VTgKdeC0oQps0ul
p/5imfW6rNW4nttmmZmY04X20p0hAtC2HqZwfxhYwIf+eM/W90fNfaMQxqsVzG84nPe+aPt7rrkT
X4ycZM18jIJ82JJK2xfJLyNQ4Km81oSwksmDypurSu0TUEEej4kK1oQXzJ2UXG8J09l7uxv2Vu0K
plXZKSBswTnBpG4avLh+Yq/sdH7Tfv8R9THsqpyfn9q+9d3Zr6OXepi7Fdep+LsBt5okbXHs0hnV
kO3fz2HwLZAU9sKw3ue8HFdWHMhLFKF9MyoT9KYjb9nI6cxoM3Pd9XMLpTKITXp2kNpgw197T8GJ
ywFB8krIIv64vAkU0QOZ7KYgaI8NP8Hfpyb5aecUJkCoT6vEtlqINw6121Xilq9FnZX1Nk1FeeGV
Ba1W13bBAa+moGklTXUbiVUeBkOrpQ+bI0434mYtrcZM1jVlzFfKFcT0GH5yyZHqZewDzHNDMhw5
Ved0zJNq74SVswNyHZ+oJnu7puqfp2YmUV2HDyGM42uVGuKXm7b9aU5S7w68YXOwimnhD0XTzsXg
/uxUlK+CxnrjDp+d4S5xwY9NJIXxAMezju9tJnbrHmnomZExjOlZY7yCcLwBX1bvBt8xdh1bjU2T
Yge2KzJf8AY3MblB2sjs69K2g7vfTwbrLfOBbg/xYpnZW/yQ0YNHTPiAQ/Y9KBnDl5ZPaLfgK8ah
9lz1RYWeejrCMANTNw4X4ncLXTshiJqH3+kRpRsV+OQ+y4RQrnQrjkHNvBlz/vNtSNuRz07saY57
3Pp3jpVVTAYsamrMMJMakx/nxqNfViS1i3LY8bhytzzNJ771brUt6Jdn1F64TAWPfWY4e67CTFxs
nb0OeRhyksa2eeZVzVto5LZwmdrwVLVVgBsxczZW5LurPkesxMh7VQtLUTEGNuiRuTy0uSPWDdKD
FUlC89Tlqrtra/uXmvFPE8NaLXcLa04vgqf7Vs9xec0avo01mucszK2tKIpxbZAqW3lAyzY5ee7T
6GSY7wg35nV5jj3/CwLUFm+gUGst+fEHRrqrhLmPR+YdRedyl3GTadfnbBQMgpsEH7ufcy1JEnbn
ifn9CugvE26bTLDinmXZAF6h0K9GFKPMqRnX2O2abDFPZdeMDkldkAfPpcuhZbob+aSu8fqR2ek7
npGuaDYcAN8HP3tPffcYOOqqSV4fYWxbG66QJx7RX2Q0VDun11uuWvwkM+VfdwO8Tj4N5mUWvbWH
W80YZealy8yX1LZ4pKmLl6vfzoOXr5Wi2sxFZ66+KsdgbDKOY7CzmDHz7Hy0pnjiTwT3KvdGbl7B
CF2C62CHaH6e5apnIrARUTreJQHza9ep3tEOhLcsNvhGBu4eJWGyIXE4v5CouOLj7DZaCmtjt+au
a12oeA22hzUHZWPjFf604oKTPWMX/xkIdWln65QH3pstLKbib52AnNkFv5phklxzUzq3Al5oW4Yb
lVVrkclsQ6vql+yafI1h7nuijGSrltH/UnfOrbpmqBIwK5lhrG6qilkAAi+OLdSmszq7NgkP6HXb
N55eS+g9D2UPctPgTA9fLAZROA5cygc1NfxDvMkJvMPdMqXaVq2umk3S+ez1vZMsxYmi/9rLdMlB
LC/6HVMcEjhF767AcvuKN/SkeggCc7N3KOWGKyoScB4LxQKEp1oHqVo0LsjERFFC1ZzIu2eDtmW7
KwPSnrvGyGH22qzY6pPHHWHi8WH1lPmdUChrVfE1ciPJzKE3JvO+pwLz3ubazzu692HLxOL3uvm/
el6//1kvY+z2fyz/4Q8OFzznku5//fNftr//GmPSMv3+p78AncAk/Nb/bKbHn21f8K/+dist/+T/
7d/82zz930zibdu0WKr/nxtLzz+XSXz78+dfJ/F/+7f+nMSLP6DRAPpjsM7Q/O9TePMPtsc0hTCI
sS/n//99Cm97f3gBr4aA+AZxB9KFf5/C284f5Fw+ESykEwhEOP9JXQmv1D8P4ZfCD0ElynSCYhQR
mn+JiPlTYxuETaujgURWyD0jlDgb4G6OI7n1kr4V5xPfGknPTwA0KGJsRKvtvU9w+KBKYsiRG3G9
YpUgLi0K2mdNr3nrpWa1iWOvdddcI7Ylr5RvzKWU2kyAiN7CmBmoJc1i3YfuCMY5drZ+5P/oK9kd
B7uN925axRsPGsVaRDm3sbnr99Ngmpy0QPPSzYZzzseCvm616DtxLH5zpGL3x13v2Gv4myiGd33r
+xuzG8ANZGn8IJooOFRTWjxbiU1gfGgdVl+EmWqQiL0Cj2rMd+AJw2QTW573HtHzZhxUygIiSxPH
57qZupec7d+9zmbzkSC5takK/zb0IjzT2VIAWOL4O+KOZBXai0zK7xkcQptcRZnZ7KkNVYcxhWXA
3epWy9o/UrKpdvDNpmWDBjsQJXdcISGtdX41cDuugAZjw57GYFvEUH/6XLlPTNuq7agcc23OjnMf
AiQ/so41oG/NgjxvYtwVLZOJ3FLcsYxs3nBuq88wqX2ehSSlqEmP/bNIpQPRxPXvY9g+e4fb785S
UAHNuZ1vUH7aM/WqiLu49ezpUn9Mee9t2zHjPe7n7W1m346Nx4OX3td6Y0g9PTpp5r/3Ec/Oavpu
lmm7F9JmgDjE1t62WAcMQVrvsizyfgQpRvtzP1nZOXbLHNMlOI812S06PWUxbFKwnUASmmanPCul
FCesLSFOILFBV/CebcJ39A7jr5gWx242QfqsFUOQLZ8b5+ZMY1vcT5l8SXqRvQTAMN8M+EqMcGfX
POMuGaDZEBSowbwlK8QIeE/jgIKRFYGimPPgLkKO92CLoT4Xo3hhBc4NEUKwOgR9nd/I+SCDrOzh
wUJEenKoK+mVpKnXrFNhlP6hN/qUZzSTGrrhvZPn67lf3sOwOjMImiGX1sbeJY4M4GMoOMyqtsrD
1EP4r6BGMlBweu77cHDIBIzzYG0gIfubVpR0V2lyXw2DOIgLNjrpK3VuPOutLpQf3TOW1smJXMVX
j2T/Y1m7+8gIhMHAvXcia190dpb7qwGZSPgx0/pItzGl7Ad27u217el6fCBOjSCpVNyXg65/caW2
r2xCEhznRe4/O1GbbXl/iG1c4EIH62TxDkSrNm0I90uSFZ/m9HSxqEtnEapbv+3q7m/XOnSE2r+r
sI6iYi9xGJgPPCj5upeLrn2B8aNuh2Rhvs6JGru1ucjduabheTcJziN9b9nu3yq9uOBx2rbUv+YQ
IA+5FOHgjDcXe/ynRx4YUs9lqnFEvtZDQZvG7MLs3QdnYxyQpphgo+qCKwkwCYgyvwtoET0G5zzG
ZfilnKhl5oS/+UkxJxEfRdIR26jUqK8VmtEfE1vKfG9FmkKaPynULYORorToBHXkbeXm/JJzETfe
qtSmeEaVjCIE/AfnfHOU6f53sICJEiEGK1x27ZTyM2AmaVjVD2ysFjHo9FsTmsPfMSHEog+Nfe3H
WzOpvAfN1nLnOkRhTLMYOIG6+OzXHkj8Z4Cyy4zW4J6V141abCzhSL3S9s5V6IDMTUM+9xqwqJsX
y4ikt9ErCCvZV6h493XS5Ffg7fdzzDZ31cCoQ//oJqdISn9Xj50DpwlQHx8qtJNqg+ZRrDowUHeB
39A7p7HDZzXj+RV76baJa9vYIcEwn4gMZVvPamc49qNrrDyjqi5+0jNLG3zv0nGbfEX0bXGPtMMT
imaiCYqpQa6deA9ggyXJPPcFou52nj4oz7zzjmouBCO93ehHMLm4OGMrN5X5BE0s2mkCWi+uE7c3
B5IRL4eqOBasHh7qLjB2Beeju6Eyo4/Z8twrhZVN63vxkUdndICwZX7LfQHlGsX360AmA/haxAQX
wos++bM/n1mnB6tY6Xwjxyn7TuxP3LmqHi5OrHc4s52V7kyOqR1eZtwaA5zxbIrmqxdm2Xahw7ZF
JV+ozXXHyRv6/RK02LtDCUImE+MyfDCG9VjUyQOFEebJjbaYQ9k84gnjwtpoMPSO/PpPOnRcuCug
hpAeJ1fMJyNomyTfOpx29x5/gB2ykKFYidFJeDTOzjfbVkgnBjeUbwNz/TPNLvFz6K1659IR2+Yi
EgevVfZXQ/PrwWJbnHAUk7JUyi0Y/eKSm6P60vM5PPdN11xdkoL3KDSr9ZxUcOYTDWPHToYLRjB6
tlbhHYp5+K4CJ72fnCT5ykTdZNogQv4jrcdJoJxJjoGjXdPAMS8trdZunfLJv7qZr1mQeM1b4Fdo
ALx8Y+u5uzWtq5ete+ChOmvDWw6P8iSyvH4f2xgfFA6DbT7VtNfM+GsE22YtKrQGRcWm2QCrsk2t
HC+XKYxvyK/MrdPE8uymqXmy0ZoVy9tfbcggyI0jEoeZouheDIt7yKZv45bcHjH+0EAC3w7aw0+A
JHHNVIWVWhVbEBHKAJzeysw9EfNfg6GLS4cPdTN0qART983SAWcKJ6HP6JsZT4IG83zJp8qbEv/J
brIg5pVHlzxOnltvkunt89D6X31yp5/f1G39q/vns/rn+fsfB/n/h873HG7Mf5O0aduU/5My/esJ
/2//3p8nfPACHNSJ33B4dZcy0D9O+Rz+P7G5yzXiT0sw//NvoRrb/APqAM2h0KKw5Plu8J8c5/81
ERu6S5bGgSzL9JFIwpK4+UuiBsVPkHRDEpMPhJVtls20tzMWCSunCEnDmnHSfMAIUx+Sk/C/wUMS
HvqXqwTVGWScgtuJbXOh+Nd8NlET5eY8XI74vwGax1D2Davl3g2fG2pbl6CjUy4sOrr4vPyEmhAX
DLVV0fSsp5c5WhhrNIwtEjm518A6EBOhxTyi2kBCIN+gMyBILfNmtlZtlvbzKUr9qefeLa2tTcH/
HPqoxPhdMkCZUFjklyGphp9+FpCCVSkHryaxgXAv779Hat/+uslwewUj7/LZ5/cr7WTa+yTn7xBF
8XVDLlnd89uEYQ2XXL7ZIRx42mc5+DbihhNlRIZJicO8/lBMMu6bJwEVjHMhE1zB/Jnv0o8htmPe
SqHP5Nwcojjdln2sMVdwTHdfEzME60XlPeySU93ZBHtXI/Py8aosH++AHwdjfJlDIwl2dc4B5BFd
mkd+HCcM0h8E5ExqWnbiG5j6tnvk+MM/GYsk9L/pJpdQ+pVJWt7I2SLwNGEqEmGiRb73+yEk/vZM
Kr3I5BFFgua9hJj+MPhTjf55LkifcKyRvMJV8I0TbGcwcRn1ljgrRwVv3nT81ZLsbT7cTA0Xn5F0
u87N2D4U5KeZ8QMLHSMIik1xo6pZ7MumxMLWBsREw51sBg68A02aU8PEUTlKYuTJLX5gsJwAXUrr
tTGF0Y1HoX5hUJZ/MxdBsY+/cG1Tq8e8k7s/jUpnjyT0oWuGWm2w6+Bbq0R67ILQfs1c1rIjCchN
6jfVkZNVd+dE0HuEKB4TOFu3QVOzXflIxkCiq70hRo/hYnXU4fTsM0hpkFuE7btbi+ixzBN/o9nA
HfMY9Zo5duWJPk67baVDwGJOC6btuAGUIZJ9rOvww4tz8g1N1GTXgar+Wzww2mPAOJmXcAoYPnWZ
MO4qyrqA0szK5H1GBmZU0KBtq3jODGm9el6MqcNy8o8UlOQXL+BD5YB/3TEudI4xazMCMLo8Nvb4
M4qQS80kE7YhauFpxTOheyM+sM1m4qoiGZ1VLsfT4CTuQ8FZdGcPM2gxbMT1oSHoeqTc752j2hev
2uqDi/CrkZHwCMM/y4sjTJ2QDULdPrfQOx44wdWH3C5tfIWTvtCKJzMXS/cGAkxcIGhm31SVZK98
R4u91r196uu5OPRVJS/57BQfErBetI6a2L9LG3u+Ip8dWJpQ3qL9LoZVJAOfiWVHkNUwiOQYtk7P
AaOLG7o0b7nL8rEvdMNtWQZpelex2HroWXjeD42dfiWirYeVPY3mWeZDitAjV889aLKnNPXkHQSG
amvoNHwlLZF9aQavO3VujWuBIEx2Z3K+w6RYJuWVPmR0lEBD991sxmT+OU01anB/uQMIRAoL01ed
WThJQ6xquSyPnRudwRpUGxikJmz/JR5XxUcrlKfJNSciEzaDb6dn8MG4xc6r4mDGxHcql22MgLq/
b9LK31mJqZEueupdRm5/MnG17QoH1JxXOeMtq1lrJXkwHeqmt29U/qZvuOHnD+gkw40vSPSgSZl/
JeEjwC6O5YbPCeeOUmeHkfvqHrWWx4CDS+2LTAlv823n02KA8w/9XP6wDRJNc1CyndSRaW+1px2U
hU139QXtK5IPk0fyaUhWAau6X7OVENEyYbHwo8yihIXms9T5cAbde5XkEC5WbcXfML0V+9kN1U7b
E/Fmc0rNs5fmGN/wUlwMknm3SQ9Io0U7QYepF1xnoR8K1UtOr3xQqZ7GEPUIkJTIgDuG4kT872TN
yoKm8aKfsatzr1gF+zaPGtIUcF0INFvKEU/eRHhubXYGJkrlTR9wNTS7KCPgKNy3WXbAzq3eSSIS
2suQ/eicIiMX9O8ZK7lj0bo0x5w0fRZN1j7GfudfLHb9SK6onKzwk6mXtsJwpF0uBwOD5zfJGZc3
mhgfixQ1G0G/1r+vxnH6ga0ym9YUEKCYVu54Z8TlsI9aMVyGrrHvrIIBUZAq9WWEznnVi6hscoiR
26lObrzZ5Ku3WM2CrvJ/TRQJCFJ1bbwCVPGD7Wa2hT3Bnh5W6cgV9zTp1t3gAOgIEiwetdBAqRaI
HLua2RbDmwT5WEBNgVmz9maD/HfiqC9Rj6Ktxg1xDD69be6icKscug1tOKivQVx53tap4/LdjuNg
Xy0CuH5RwQ1BBTZQz80xwROH3AL25GTxfuPeyM2hc8zwIQvK9pwvlrk+aAme1Abky44Me+bkZGEK
n03VUPVfA0DKsFYXZV37qa9rbUx2Mm6D+3mx25l2X/QL75XXNcTo+FSMnfGcJK73Cq+PR8+nJ481
NM48HtoSxOOi0utMpHrkJO1LSj6TxxL8aByjE7K1RcTnfzr5qBvg50PAAuNHJPUazmTwllM95Spp
vzl9W5+NuHKfgsX3J0xt349d6PAYnKwrxRgkR1F1Xr6BtPptsWecCS2zSjfh4hMEMZodYwteWpNU
9bWOLfvFXwyEenERKsUAx/gUFNL829IzskBBpGh8alseyUq1N9+NnY8uadAcik7Om34cwifhEjiu
VGsh0G3EM3BsJIklfppr/qlOtAaNRTHGp0glrF6Ppn0ffMoWvcW7qEziF46n78LOCrZ0SdRPQKyI
Go2JmEm02BsJtsl1uxgdq2hqr3Iu5DWfpDpAIbcO2ma5OLtEt8ZPMWQkGv8rZwHrWdthBpiS2fiv
oDT613LxSka5/IY+E2V2Ft5sq2kz/nxmx7kD6PbB+tRTZl0Gt3NxVnqf+koKwU3ES1vNH6lsSpQD
i+vSQnrp1rzeJlbU/GhiLS4XN2bE2XSH76U89Z/qTIJ1fraxP5WaJJ37ix33/5u9M9luG0m77avU
unN4IdAEgMGdkGAripKoxs0ES07b6LtAj6e/G3S6fjeV6Vvrn+agalAlixIFRnzNOfvULNUUWYsq
v4O3QwhngBRtx31XbPsloxMlxbTVYuHsjTJz764ZT/R6xHouUd6wLBDL1KR+dkSzo1BNSQJ1hBLp
wc5CsebJBvpxTQ1V1kiCqKOXlK99A42EVc6FUWe0GmZzOEh9glWS1ogfM0yIPByeg2xijlA3pMYu
1TlWENZTTI9UqsWqNfThsdez8FlPy+zZMqgBGXbM1hoZW31Xpa13M6eSaiW0g4PuVGjUQwbW6KgZ
C6Eq6YMDOD82waBSkmPSIt9GqifijhLTK/fslchnNcGSL2mtKU5ZZMhm7Z6C3iaIt3UVgTcoQ5k0
mbcIMKYz8ckCjUUMbY+5xDEqhnkTUvi/m1HQJOwJmAgNfkeaLL5hwW9pHXOGLB9iDIbMdrOMWS5S
aaKF5TvB8JMAS4e4pSEy/bojuLYy51cVTaxFSXpeom0JRpJ+BvQKmQzKr3KJwNVNjVk7zN2RFuGG
TKp8kyXhM38Wc9tNiJOZFXS+mVHcaFl811uxeduQuSuW8N1xieENl0DedInmrZaQXpbi6IyYCa7w
XlQr3EDFEUWsibbP3UZL0C+CprtosowX85oCzNw5XzNHVlsBR2E9L3HBQUpw8LxECJdkCTtLqPC8
xAtPmjEiakDwzJhm5y0hxOMSR1wtwcQFj9+r1jgb2FzBE5wxua+YYR4Rx+i30RJu3IfEHM9L4LHW
EH1MSCBYlaad17hmyUS2GINWZRueiyUx2UuT6Y5pbOYnxCnHc5vTJ1SqRWiAgvu7jdh/AL392pZK
A0H3df8lXfrDH9vSKGA1GXdufEjyhrZOGx2kTwRfFlCMSCyz9IKOlFqq4MrW098YsOmtv3eZMA2T
htQNY+EumGy6fnpxXCJKTnMVH8RYqj/mRBWnKs4iCMxeevn73/Mng/LyUiaBIeayTrN/BY/EuCwk
oypeqjJqYlkFWXCrYgrLz3//Or/wXpcXshj0MXBgASflT0u7tJwmVO5OeCDddNoCCLAOshuNTVbE
7X2tUmzYvRehuJ2s/LVacKycKmF0pwXR0lyj2Ss21x/pn/nR7/bDDH149/96P/xYkvb4L/+VKNQf
zFoLpZd/+OcAyZNvLBAB0GAxWEGuXNawfwYwMVh6g0iIlRX0EGg9yy74G9XSfgPXw2AfvOyBr7vl
b14tKJmuzTwJy7yQ1wXytx35n59X1utfd+b/4fOLp/rHD5Hu8S0gBIFeFJ6hw/b68RPs6U3RBkGt
3QDg7R8AnIB4s5R9yLMZnDROUF/niL6Ymex3bmnNG9FPHlWlyyIVbwuWI5nf4EwF+l237p5YBjRa
Af5FkhREsnZkEYEHCy9hZe6tFDlYQOLE2rKKl6FL7wcDPWc6LE6fBZ4sUFSsg8byVl5eEGxPiCuq
FyszHtsC9T7WA2avZpifId42TyhquRGc1vIZt2afdI22xDWfUXp8Mau2Zr3aPRDt2V6SUi5SFeQr
qOu6/BITK4x7wa1vJifqMTrWebrrcWVgwSjG0zRI55CHY75Jkplpggo8xCwdDLi0nCX7Y13HUM2J
jsCNih0qWJWvyCsxo6XDn/azrvSNXqGPrjBnnnTl7rPMuFQ6exaz9cRtngIRDcac5D2Pe8htjU0a
sSauazfYtnqVr3lgyo0L1mxVh+lAKnC9JkIPWUpBjTO32HYcW3OOeYK4JiC9ZdVZ2MpGI0QPPxaI
E9Z2M4aA0ObH2i5qf5iiF+aExvOQ2/IwWk7/vhCIa6Om9nx9MsvgXKnJ0DfsIWLFlJukP/2mLwJz
fiyUmabdJqbH0P5Is5ElAjntnUa2OTZ2teqKsgHkaJPUiJq4pStrbRzwtVm4mOM98gkHF5kYN39f
D7scYeCei27cITVjLhMLdDhjXrQXDfB7u5piLY9atLCN2WPXiu0TO0bU3gKt+kZLZ7Snbe8xLkjY
u5413CSV5msIEEJc7ZWalbqFm4I/OqP+gaxtr/hGjeOtK7wCc3FkTd9K9b40Avui5mqICeogJE9j
k4VPViXDQ9CmOW0OenXmH87CjdziS9ehOWBYUu3FQ6A1yWdEho3+qPWTdMON5hGSSbJmmHNYb7lC
3JFlQCpLWx9vB2ANVb2tm6DACZnp4m3JOvxhQPWTg1EmnGJrxCIp16kWjn4MMylYa10DnZwtq/YS
pXac+sbs5NOqlflIPwUzfFV49Sc83YszvzaCC+QXrVpzktB/JSmJIYFNaMlZSyZUxznjKHbAg+zZ
h8HMR3wbAcUXDMaOzDmjPZQrjVKBJNv14HbTowoiIPcmuuC3aZxRF9q1ND/UkUV/EubhXY1V8U7W
sbtp+6oiUUJQkvED6Lf0LDaikFrfjAXDongqqnvZqOKF2d3YIeQjNRMcYdLQ6aPgPxjoBQ6YyYMD
PAsN/E3TOukqBGvpC5wJ8AlE4fAnn5FiJbbZTivRRwYJhk176XqnuK/dKtw5DEwj0dt3XtKHT0FW
jTfYvAybQV04v//nQrzKrn5zIRoGELe/uxDPnz+q1yb94TL88x99uwxthFHgjr7nOH9/Gdpw5KSL
Efl64327C803ug4WxpUO+xT3B8Kz/t/sVDDF/XT5MVbgyrNMyMhQZ/jBfrz8SBDW9CXZ9GTms9dH
t6ROGwYiSZQgyVScoK1aE7M+YFsRLTKSbgJf0uHJdpU8NHMbPGa5G8yrgh//VolE3tHcSgRErIQQ
0fN5NEiOJ+LcVDijyFB/ZzV5Dh7YqRO/N7xuS6hnfGZDiMMO7yYuhX42NhU0pzW2MPPchqSNQ1Co
t3rv5vdpqhf3LfKei0eGDWJiQBov2GCH40It7FYjyLh3jBAh7uqRBigDpMAli9z8ooyWsXI6Hxpw
vyjXnfBe1vZ80UWmLgtCc0vjLu/moB032mC2x7TyZvTWZromImvcWJFF7xAz6n7qcJW9Ok5ek/9S
Bky7ZpAKdV0199Qs0Vuu0o4I8DKpfDPsja0XOeKRUym62KNMNr1u9SHIYK5ZFQ7Gya2bZzoctFoC
YiK+ph7GClkm81PRdulaF+PHdBzxJJiI2Pa61senOi44rIvKbj5Aeh4Q1/A3fM7SJD+7Qx9ttTaa
jyqnwl5Fkwm8t3edheCAdSUhIfEeJUay17LwDmV0ssUGnuJ2ttGZIs3b60M5oIMoulOhCfj2Ipcu
YrlhepzautumEEbWLWOaOxdLx36iGbh1an04WQ0XP2Wg+coGqjxiTmofwfhnI+JsLd0Qt4oDTkV4
pPPK6m6hP+jbWjiaD3myeCC0yHxsJ6t9j3M/+zLR+D0ZfRf7Mh2Lu7yxtTOx4cA49fYd71U1rVkD
evd14+bvTBX3W3r2wi8YFbC7ScEO6baG4VqNn+qhae4YHEFgGdtx7aGNQ3fAg8MUkbXHH5h1O7Wm
oae80mYTiPCIx2VjUbY9FE2vk43o1S0cu3xe5XqJLBzqFVYW67U3evfmimAEOlCdLSXCdVfo6IKN
GYZwgzpiFMT0bXoux1OFmG2fhZW714nr+JwUYXKvVwwB4jSc71LmWVxbdqD9ga/BJW46bAi5rweJ
gZI7vLspYulwfkXRMU5pNGEBJ/4CsXiHpUB/S7z6eJJeqm8iq+luY6ey2VtVdf+glvO/vl4F2vVW
sOPwyWP4eOdyZajl7uiXWyRe7hMG3VRi10umu144Yrl7bBym8ypabiR5vZwavHXUZMudhVkjYObP
PUakNVcazl2ut+B61THAyl84Rqr7abkJi+VO7Lvc3sTLPelcr0w2KNXaWe5RBh71Xb7crWq5ZeVy
32bXq5fP9vi2uV7I43I3S5lyTZPfohHqxd1tyyA/dnNPMUXeOZd7r9V2vy2WO58APqzE2tdSgJnZ
C9INCgRHlkG1tuo64CSJmSrOefkpu5YV3VJhmNdig+UbhUey1CBhv5QjybU0yZYqxbwWLNB+KF4Q
f1LIVEtNYyzVjboWOujLFVVP9rUGEn+WRBTvS4VEDjsKrHWIwpDqabyWUsHXuip08qq9oKbpetzY
kBWL41wZWPjXrYsBGplGb6TDo0rG0P3DIoI+KoAtZPpgP+dwSmpn41Y4lLZa17XJp8mpKpGyjRRK
cXHR7f3TGP+uDli4XH9fBwz/2r/mFaMoxfzj87W4OHz6v//nSvT6d2fs6G8kmoIrwGSRUPxZCDjG
Gxuxg4HMYWFpAl79viuGR8dDtgTQXKUX/1ZbkFhM1gNfDheFZ4mZ0H9TGfw87kFgwTdCpO1SSbuU
JD/WBRglRlbizgwYGFuIOUs2pDJ8+e5N+Q+9N7/iD+Or64vAVUNcwe/5C9+yRepXIdue92xO6tXo
NDOI7N5ZszVsv85w/rLNp0z75aUs3hbHtnRHt3+mWpaEV9ZJaM77sScUPc6WnHQDGw6ZtDgYwe3t
c+x9u3G2rRXSpvI3L//L24k5BEQpYhiBLP6qef9evIJd3bUHabA9KIYnA6Wny4rj79/MZdb3Hddv
CV0m2sIzHIia3KvyJzaiUtrU6YGo97YYnkbbfGk8Ua470L4rfa4///2LAZ/89eUsBnTMcyysFcxQ
+P+/k+OQXsb+BFLInjV9fWRDL4gs87T8mNocxhkQCOsabUbWxRJzZmJ/W9WZB109TxVRaFRO8cox
Qi65iGDGA+5YYtP6kmR1LuAlTo3zlmg1oxawtnMC1xRFJc1Sbn40kmHHedyypFtSK1SrGy8TESOL
lgI9MY518xzVneeD4TF9MprGlykJ1CmW4bBI4h0V+Vbt5U+SzcXbeHJKpi2K7XJY2nd2W6QXaaMi
7y3craDoQ9b8hUCgBtN9SWUDAGnX276b5wMXyi1WsH5r5vkXy8kuZWz9AWTgoVWMxgfLzY+VPn4I
2UzzEoncaDbfM4fm46fVXO/Qu7PLLYRvN8nwWUVefXCS6K4iFNyPibbeWEbebajI5HnE981CUwZH
IzRfHE0ExySKkd81cCnivgfQpnnkdDaIyUWSoKqpw6dWQmDpXMpIrw/h04dM/ocA6X6cBZsEovkt
OuV1F+HJCmAP39jIb9LNAD5iWq6m0ENikoDviMlheKpRzfoR7cnacIGnVaRewDeqkFBui1Ep+WwV
jvY2Snt1x+SL7+MCJ3wqBWL0TMXdHgUPFbRSsPIMkF03QV4zqsh0e2MUdbpl+8AjktfJfV2W0zoZ
CrHpp87Y9nGmv1hlSpRZX49YuWKje9/FOvCVNarlE0EL4VMc1aQGxuS8Baz4/KiWiyomXiDrpAie
giBSD9VcqPtcNacANNB7dmPtk4Wze7/Mem7FaMp9XvAsYEWKt11bjLsiN99HqbJxAMY4cBPHHPdW
E3sPOnF2OxST6nYOtfJ+ybc0mm66RRBT1WuvyvStGgg1YexGnYkQg+p+tOOd8qzuhj0eqd5zJO8J
N9gGgQkaM2gdwQY9ZAWfRpAy7LdjHx6tPECZWQ0P1ZQ+Y4anb+gTMv6wjd+wJEnJAugB0Hbh8EBC
hdgZZqzvBXjS/YQt92BXDQO+Ul8IcqFd3uUT9wZPNHBVEi1C/cEM6um1YRW5xFzQ7YWJdtOGEjPD
iE1EZpRNmCnhubFUdfxar3k1pnC4zDy0Knj04fAGVQQiFTfHezdti3Xght4uDILhZiTVb+2U3bCW
CLx2lNIBn/1cQ/rPTNMKOjoDO/VWpsyGI8IKcRo9090GCVEpJd52+oa48KUTvZqB+dYTM5CZttUv
8Tjpe6M3P0BWOmluFj6mpW6t6Oj4bMfzsbVK9s9BqlazBQYlGPoUWyghEnJObrWmxu1bB5kPsPAT
uQ5giMCZTys3CPtDoIXdRmj6A+bobTuW4T7REGmUXjXsZqItWXTL+hk2npNzPA2aX5Fau0VNbL7i
rAGOEVVYSMYtUbzmk21X3roQKZos9ObNfadV5ivntnuI88HETB/RalwnORGuSKyF1XwOsrRFKxNU
03Mp3OzEgTSz3PHYbhn2e1UOAIg8V1sNblCugffjk9SjU+gWu4gLAOiRzjA3DGFhZrkozk3uHrLe
eE5zFDpGgGg5ZJlpKVcDRqQFfpBq7m0YpJ+D0SNGuG42TmdYr51uVR+TDvdHRbvuEcDLZ48jQd7F
E20GnqvsQMay2psu5XE5zMO7kk55RTXEK+sswKd1JvkAYbAeky8ebcpbAQ74idBq6wFCpmQt6Qkm
gXnSrEo7w3KVRe1Gsi3mcyLHT3k+aXdpvUzAm2Kdsst+sYlY3U8eWgeatWwBqo3WGvSyvclcUMfd
7FinzGROjKF/7mkZXW2PklRiAHX+cITJbKEnONavAzvBHeo6T1kzih08xXyjDGvC6z4BME0tvLTS
i/Zo80gSHDt7b7e2fSdjQRyjhgHKXaZ78bTLpoi3v4/GZ8HJ5aOBdem8p+zJJOlkbesCKY/Wpsaj
VcuNBFD6tkVt+QFDQ3SWSs5vm8L0iUmC+pVUSp07UbUAIhKePKhlrApw/QJc03wuzy9F2hirgPXX
Fh1bg7q/HA59YnJmINgnFRTn6JIRaix5oder/p8i/7dFPguh76qiXziF58/Dv96XKv2xvr/+oz+H
fY54w21ouBRI3+LX/l3je28cNreWRBqPrcta5orfpn32GzZSLsBp0gGWmR8zu2+rL/1/gyn8pfy+
blpZXlOvUIX/XDGKHiOKrofloYewGa/TIrTvTDVU5xlnzX9bnfJatJhIgpmM0PP81E/0ja7BqxfF
wQG1eZ77CV54Z3ovE+/ACSno74jNy/f7oRq2oUJaBrEKSCq4Nn6uhhfWXuXqvF6+xFkNrJQCEq9m
sghGiPZs/FAbmaMrnoYlN+u75+D+68t8H/72S228pEdgZ8ZxKuE3/xxNUGt6M5ZM/A+zAoeTZzmM
10z07mkSMzyqYPZeSE3+3a/8SwPAq/Ju4QJa8jF/Eci3TZuowXUQyeZivE85UD/1RQ5x2VsYtaH+
31KxYVpgMNB5OZ5earefs0gSXYMi0CiPYzEob5xFsztFLVxA1yRPLejl17XDX/Zw103sD39Ux772
NrS/vLlEW/zYc0yN0OcQL9oeQybOwE4G8IDnmWSChbUFAH7qYnF2M3IHnSkVF9SrxUuBm2uAOpjO
hHM7jXOB02h0K9XbHTy1KmpO3K/ju8lwf/MUYIP++SF0bGa2fPbplAho/Hm4XqB0ITu77fY2ayXr
SSM8OrhpwoxpdlguAuA6FMNREJqYEYLX2uKJz+B0WcK19oaOYPoYN655uLr0QrPBZUeqDM9SE5Ag
fmXuj+B6omOvGySGIeQW5xyKUg71agkC6IwGK4KmYmz9k0EOETNBcdaUQ5ZAhzrrptKm8QJxY7wP
Yq7G1az60v7o9iZ4QKnmsYf+VRvJjTLt8V5ySkg/Ji3a28N21t4C6/PInlaG4pELEradK7jkxLGS
HxUJ8ZmndIQBIggJHlHbeb31MBbTcCr0CHw+YtWBC9lCEHU9CNSU8zkde8DeGnrXey+tlUvuV129
7xIDawS24MNXMvbY99V7lxCve51g53zt1ZCn1khZl/mcsl9dRcbjV5Bz3gfEvTG5vGgI1p/stnP9
eMaTZHu2QV02eeN7Wbb4OKQlQJRf49s6S/GbMoSg78waUNxMCIMXEDcAxTt3IHCi4328UpwDrJdP
HdFZl9mtvZehJlBRMju5xCHTwhrxuLnFAQFR2Rs1whuaPhgvX5/ViHEEU2IqFsa16dh8ypJycbPY
/LLG1FfNrhkI2FqTd5BGR88J4vyQkhmZt7h4oblsWoRwb6N+8F7civPUb9MOo1aOekau+kJar2Xj
QgkPKz78de6dPDzFLxUlF8V3EfNkjCnMCDx85Y1if8BIuSrH+66b4GX30uAt5dNdvQeOggY5LMkb
oee9JhiC4zt0ERa51QDE6xIPZGKv3IUCf33/rbG112bnWpj/sKhTr7LNqQtPP1+/BrEF2BBw65wb
c7TX+F0fIqft/SH0vG1XNzzA0fLxkKRjVfumSYLgRtA+VOu+GTrQJqPrwahDe2iuWqKEOjZNrp6c
W3o+WCNunhrjI7oyXUGgKceAlW+CTyBgmYuXE2iYfhhE65BBGoLdjI5NAzlzN+ldMvh1CD76UlWF
na2ikhJ+VURdG5yM2ZuQIoPp6ietxq4InT6+H1C1DW8b3n76G8Diu8ZAC7ia0SmCuoM+XpKUtNLs
3uZ9bp4qM4g2YwxzKii8aeuhQq6jejwwQYHb4ybm2XaX3qUf9nSoI61YOT5JtOvXpA/+7Np0tuxU
QqmPxLtGN2ocyZNcIc4WIK6i9jJENU1ii3DxAxIJz+L5agYTOGE83vSO1u8tFx3zqtNReK70cj67
qgs/1Q3HpsxjXMtxJM+VXngEDWKePrHUztmTjBrmfNLT4l1Rze0nj2ab6CetC2Ofh9vDbtKOBejt
vvHow5zgxSyatmB9bT1DbcGwqurXQjigK+n2rX09mBzZgCN46JS+xMpMKZzfiDTUHq9mN1645niW
DcIHCWDWAm7pmVwhBH8EeIl2MS5H9GVOuMC57b4fL9d4qsWXdK4sUb2fQIFkUCSH17Fk5p/YkgOz
NFLcJnryNlEzH6xrkGigN+QVOWQiupWnAzYgg9bnGi2ZDaEDitHbN/wa4ZaYOddGBzrr3tu5qcSH
XGnafJgjq3MPZq4Qtq5FRe9nKqHSozRM8yNcGVviIk2PmVcFp0Grwnu0vxGEfu/JiaL6JWvV65SP
y+kfixd6rc5P8GWcacc45+1KxEevrIwPnRbQR2dkZd5W3uA80sGnjk+y4MFmg9v75lDDS42Ec2MF
pXK3HuCFu7Ezxm47I9fMI7fyy7FhM9Pn0eBbrO3whmaW3TOMCoozgxvrYyZMvr7ixlLPduQZwUfP
HWIEOHUVlNsZDi4m7jDtUJ02qXZiadnx1uVAWObWDt9NjlvuY6tAORyZOgzklkArAZdwPRlB8x5E
FLVI1druyRwQTqei589aeyRlxpCSOSwsjOSshpvpMEG6P2vj5L2onMGhr2Wy+QS/1zvZ13iUVM48
NHXHk9KEurvQpZZHqQsLNFlRKc4IyzhLIStwpice36c3+GlkG3mnZuBPA+DJ4xzMyc7BlLqkbkGL
4H+I0iVxbDRDDwRdFRMhaKSc91ik9lPUcw72RAcCZrSle2LKo60Tt+SVEy6THOmJO96TuspnyR5o
SZ2Je7xUvDC8Aet1nhIO/OsRiBkcoj2GrOXRH3Qii9qhcEmSqAbrNHSdTj9sQ1ZQrdZ8KsyUm0OY
LNa5WWtybDPuxya2OafzaxrAVJeQ7wE4OVQMkynIGL7+WOIaV1BHCZVEoC15GI7itK8zpfZM1sb7
tqf2zV1C68Scoe81BkMSu9hN4I9vBShXc60rr3w/gHmO7gx7CYaJ84rfdehnXrJQDE8vuNqyhttC
MnlhmB6FNdCSwdV7x1mHo0WMWtokwFdre3okYsZ+j1iGg3VSWnJC8D6CW8vwRnNliPBpcBAPc24S
ZWnNpttwLjriMSs1/Vh1kfalVbW3i7rBG1f8zFQ5sUZErDEO3HpuprjJa6+FRKAIJFuFS5T9VjkW
CQbhGC/vaI15CDoVu+x1V7l4lpgHtsVjsPxFk8Tkz9QtuSVZw59REzVdQ2sscjYmtBU8v8y1A/1F
aBMKD94nSstHacZa9wimIJOADYcojNwLAxNPclWhIUBJ7Yb1FG+nFKSbeE5cquVwNw4tEnlhE8Ws
l2xEdQvqJjz02G+Jql4NcjJ2ueZRgzg4pI6ppaKzmbf9GmHXtOE/DAZRVR6zZK4Yokb1pXQ5WdI+
wuWtefFRaxn29k3E1TO5+Z6hH55NPBfbrBuuMxPpwwSIyJbwbqypCfBxmw+hy5FuwlTaCj0kGmQW
+Uqx3TyUPQIFbNriUlgcMcxpYaknPYYiElbQu8k8/UL0hr11+zLYe2AgiCyt+9LnEziAeyy+FIqY
+my680ZrOPBcUxh0tX7ntZV+Z+dT7/dszmUz5XtmLvWG2jh4HGU3bRMuUeggEYhxy7qz9Na6xbdX
PPDX5l4uxuzIzZczFE3hyYDWXLu53IRedtulhBNDAJru9KkKnwmO6BihGea57HHxrokCp4Ac613m
ZcwZ+3szFxcqv2JjaIP+haWyfTRNZPMxIDqPcJhV4cDId/cgZz6jBuMPYnV8hLdst4bIzzs9Kym0
tZ49BDdws5pwU3GCRMv8lfuK07BNypuuNrB4mLhOb5t0QXbkEadNLBVP5NwveLQAAUJzP6VDEqM9
Yeb+993p0iX90EUtmj+HXB8sFIwgfm770bImHjdeta+Q2VH09yOgGBXwJP796/zS/ZBntaTk4fbU
XYvG7cduDcVg2yVli3m4kBzGneOIp7pRRCdZo1iYXkvrcj0O//51f2n9eV1UVITX0ZladIo/vi4t
eWYm5VjtxySTr60GLj9vRsKMByfi/CrzYrpIGS2uafbovwvy+mXRyKt7Bl0xH3B+iGvi3Xd7salJ
mJ4IWe7hBqO/wbJgPKGUganqLEGkSFf4b71StCVL5W1YLof79Q34Z2L3m4kd5DCDh/Cv9epvJ46d
Ivx+YPfnv/lzYHfVo7McZjQnDRThy+jtmzpPiDc6SZrf6dG/n9fpizoP2wIUHpMH8n/mdR6r+kU2
Yuo6oyDjf7GT112doTFSPUaKCPUQ0//4YFMBihjH03Du8k9E2ZPw8/G7d+P3c6tfXuCnT6wazSyv
Rl7ATRg1IELqvNe4P8feOso//f1LXYEJ351CWDtcl004tRbWEkSIPw3oJtGIzCZg6TaxibRKOAY1
xBNyYvtusBX90FzVLVFJCri+07/KX0rubcQwuqnXYf6p/CpQDjsLzICzw2Gt7ya36D7HCCvi/NQp
q9GsG11WM55WjwXwE+79iYOHxNCnqW63BIbYR8Zm4j6pywQEOZSXAk5QgZHENZXdroxeauxcht6E
62hnOeb9x5o8o14xMCh6p/T5Ibj/Yq7rhggP46hEFT9PY9bdZEFNNAujzmzYgtnJTIz06MJ9VID0
XSK1hw9s3oCB44kFKd4aak3KnWXeWZpTzTCYvUh7HHRu1WJj9mEAYH7dwmcbA6pDBXvsn1Pj/0vU
a8olzPOvT40zJfp/crkYX//hN2GvfMP8VS4nvknCkCG4GL4dHYvLZbkQdOJif9LzeCh7dcanHBx4
Tzgi/ufswABDdJCJnsNwibA2xX91djg/XkyL9gQXjeRsA+/CPuJnBQzD6qqRo2OcZlpwrAJxE04t
ggYDztTU3GpM6DZVTm+x6l1YFytMOfN7DZ4R6/5Y7Ju+0k4B595mqrV8G9JzsNydm9syLPaRMruj
Ww+OD4xF3pRdoT0STIcipAjZKMeAFqFHyMcehRwFsNfS6hBwsRNVXUK5ojmQTTOt+H5ia9QI3uDn
B+YuqfEB8HMTIWGHGGuiW0mnfTQ8q1pFdfAwzPXd2JQ+WikdPlIl9nVTmSuX5pjcPnkUFivOLvV8
WpJPHboYv0uqZp33KlkDlZpuOTPCzQBeZOz1PyINsn+dNdoG847YTvoMpWpxs0M52mmFXbz1pj7Z
NFUa+yQxbWAy3Kl0sjbUgAAojNbcZk7uYnmp2Izm9FwiF+zLp9ry28L19lPTxRcSV0o/F2LeV6nh
rYdyotivqn4ftsmdmjwdQUc6U/6Cbu0MT64svTIR+9umH8aaDT6lGwHLZM0xjZ3bSDCpYTRx8fR8
2LSBs4MIB5VuERhgrV9NaEjWFpUueF59p8UJi8loegFBMa37dvklcM/6bWcGfjZ14VrZmqTH6T7m
DeqZcUS+AmfkpqLPI6dp3JSzs9XirNrac134GBxh4DMXX9W23Htkm7SoDdZuaqBImQPtZTLjcsWA
zt40mI1WZgdw2LAg62twFQ5GSdoBsQRosoXb+44DlIGVrA3yRZv8ZtQtUCe44m2XdqmTcBlMgNOe
SD6QtmLd1MCaSZsE0W7DpuwaNZAMEe4o7By2ogDbMvShaVI/lY18ccf5lBiDswp7aW21ItY3LBOi
nVPlrzO5tUndWrukDBSTvQEHPTvrY214ny0oAT52G9vnmVg2xis58Ei4KnzwiEbfdmE6YXoJyDkK
23XvinltNaDbRGsfGJ2LD5MFBi5Vzc2opR/nyRo3I8OYTRIn094uwhz6J4BoLeNZQNVd+05YER84
Wx2K82lcM/So/VSod1rTomxyxsCnQwfhSyLlDoWAtSnhFW1lkqstgTbPCpXeLRP2fGu6H0Ov0Umv
deq1XUntiduWUBySFi3fyeL4kveECRWN1LHLgAaqYk89LaBJn2VmepnZavpNM982rcq2bpIOzOMi
uZ1TJFYY6pxNMWLRbg1Nv6d7IY8Fg8oG8k20JqDJABVsopxwEnkQhiIoI3T7vWGEYEN646bR9M7X
jKh6xinPu+iSW2AQK7iWoTeQD4HdHTsV6V52oj8TgQYrRxOST249b9uoctZeN4uVmtPiMSW7BPt7
px9F2wz2yqO2J3xWSyMS1QhKgrgpSS4r0o3JVHDLj9qdHBRifKF2Kphp7QAynTUr/RizmUcmv3DV
aydcdQxwfWfm/azmxt47oHRWsal/GYOI4O2B2OPFq7BKZPtIvXEArSCP7uwwwlf2RbIQ2UAdKAGI
j4Q/klTuWwzGUT55f3Rtdoknti6iu8+AT6x0Ipx3+L4+59Y8bTM136jWOcUDX984xY5hwLQqrKLY
OsQfr5lYVP60dJhErLkrYcWvdRmCqnfnxwZNzt5ZRqqgLBedSNeuac+mjRGXhq9gV6z1UKrbyXC2
XW68evUyn8CgDemksR8DIwrXueNtFj47IXfJbrTqz32TMYaYpwAQe4JyJRPiGLhZuk0yowc9RyLr
1KaVjwzC3TP7uysz44OUzSkJLZKw7PHFHRqHAC/ZrrPJlAfCYYonz+vfZjAZfBZ0n2UECLAP0LMN
IQRb0d04VqvOlWsc4xLJnF2W2W0Gw4mp/n0WMaQNzMhd4///ohQpHLGHqd2eu3JnWbgGAsToG+Ca
QFLJcwACCf/ONgNvnyEpbMzoA2Qi72mywMpkhbiZJaqL/8femSy5jWTb9ouQhh6OKQGwi76P0AQm
KRTo4egd8K9/i8rMd+uWWV2rmldOciCFRJGg+2n2Xnuxt34/Cdisq+BvbLV+7un+78lgIoiES4gh
44pVE+EKLJZ6P8yetzMb76lDXsOyoi+utn48ZQPy8mVxoFhOINRZw5px3vT+R12t7yqdZ0CaRCnM
NrkAWZ2jHprUYW1XY094jhcFzRLeTTW7rSzA2OG6lxdO4hLeuWhiN0ScyKMkKyJhb71f+4IlGho/
wJ3G2xyCj++N9dMpSIVw6nk+iUWTnFkUA/6F1D9y/hZnkjyQTxqcckoYiP8GCn1R286h0I63zwLl
QEfvnGh1O+uQBeWbWgoPFZ143qbxamQvR75S9uUYXXCu2zrdG0GNoa3zrb0nA3AabmOeRXehz5Kl
wtpApvvBH+BkiQ1/xQ9mue304hZTikKPrFoidI8rIDeAFCtYJKlemZ40JBmV7HNKgpZ5+hpBxsoQ
QowIcru6fMkYC3ujc+xtCckhCjrIti/OrFoHVdy2DSOiem+UnN4Ver7fJkey1L1Hx22Ci/nxTyvk
4Pw2RpZ/2iTbv1yT7Z8myv+W1/9Wee16/7eM5m74lcn2H3ty+88f+bsnt/CPYzyiGUf0TgFLifx3
YW27FN0OExfsdIIampr376bc/8NmDXphiaP3ps+kWf67Kbf+oCl3A87Gvzr2/6Swdux/0l1QLV9m
aZ4NbNHxBGX8/27Lq3HWlZrD4r6sQvK5QNabnPhDVvl3Ydq50Jr9fhgPCF0BZYDNtUKquKXwgf8t
Uq23VDUWz3WFooGVSTU5j7mojXp987iAKjPy0Utji2urY6YJ7bmf6t78hOusTA7lsS1ENFi5QN83
WxLQsuQLIpaDDN0safK+xCLdWl8OqxFUm2MvfhiXodeK64T8RLffSZnhc5vQLntCpQcIvjp2wtq8
q6pCLhFfqHne9Sz5K0i/3UAYruMaL4Fp/BAAPNhAoJTGhx7c+jnwKFJXyuu1cotTwCLvmypnO6GC
pY6FS5o/DoGocrTf63aPfjoN485WzZA4Hf/inZj1JJIRrxKJz3l+1afVPlt+Q1aU/6NQy/QyckWX
tx5BlTFYy+CuGEwm5BuwqALF4eZFE2s11qvhGpIoZE7FhvNuYhXJJ7G9pxuWXwMpNDb5Nc2e6JjS
cEcpxeh94+WfCj/Nr7Ra13emvpZ38EkgO2VgsJOQmMkWM15Jmlow+URRBPiu37ZhHaIs69leiGBp
zsbYmqx+PQKkOai1gMShgpmz2OWRgE+HZTEg20fHpTeOw+9AiI9p3nqkwANPVmRXS7PG5BjjgjZn
UktM1hoNka1fwUCtl2dFdRwLd96rzPFjry/meJZ58NBrlyVim1dZbG+TBBFLn7RJ7kSz6a0HwwsV
KJ6GNZAbcLMPg+d/qi60Ytqn+ZaWUdNRMT3LOZG3UFj7vjW6axeKznZjtrMZdGeUkUp0Uei1o+CQ
LxvO6wYEZXfvVnipT5qwCXdnOjjrWoZH1Fm7mYTQa5VWtBA7eIVCVLuOAZcbN5zgzsM8EnO509YS
PLFTApgTGATUvrJtC9DYy9FEThRiPBnMHJUH3Ugwxj6oHsyFFOps6Los/2z6YOuisg6qAMb61hjX
Cwa3ER3yKm9HgwDLBWD0lZ+26rvdXHIuKkQEycYSazut2cZ+hJqpBYFY+2ZOlGptyyP9OolpE9Qu
KwIuYkxHoEnBvs2KguxsVFxR3i9ksUkMbnyzQemnqCc2cleG8iJ47tJuWa41ftc+tg0XpTTueSfu
loa7ymyNQe9Kow2xoLZmMUZDMzfBzaobdQt8zTwMFWmheeZk2EgtFzhyGaCtwrdegI6T9bJf4Gnn
O+bu/hA3tVDvNk7Uw0SliWbcHNmGT6V+CGfjJ0FtLd8pw5drRFu/ebeTdEaK6D5vpn02Ey2wphf5
tNjm/FlrYVNBpd3QEvN5WYheYlGnIyfRhow1XOXJ9qh0ogKcg3+oTVLpMCykzsmBPPCl2Pd7M4s0
p/BG/bRUNthwVeWWRCC0rbHoDAtSxohHPi3tB7dVfB8JwizhTGScZh5IeLJv+/KgV0ecyQLcqlgo
Y12vV0shMXPGFrM/K+WDEOmY1FZ2oWHzWcl91ukSRIDrPBjY/jBkzHkdQ6C2r6RPbpYjSiNMjKKj
VHMvcevYMYvYdGqbz7lys/LH0Afl9xJo3osz1MvHCFZxSAbpunzX3HWJ2fqQ9WD5xnRiauBGWKdJ
CvWxeQ5X/AaXrCujY7kBuQQw9c4XmvUGE0gPMMjmBl5Hm0XSIdUlHRi2aB8RvOcP2QUvTvtPoibN
QorRFqGy9BoQ7bLtZrET+GOfrQ3Px6L0m8sjzLhxXKnww9a0j75QwYNPPG+cTelGll6OhSRsCfRt
NVQNJPxpFqHOXh9bsCK3dWMje2sGZJE3apDyRk8UvwfRS+e9n9b3bF2B909w/EnoKdJaoEYxJ1bC
S7nONw25L7ea2e0jCzSyACT3V/ZgreyFaYRcQnK3Y+MADMRMDIk8S8/9yKlx64rK2v+3nvq36imQ
T+Sc/Otx5T2hLeMGzLAt/jeH4M8f/Fua7OIWvISzoBRFpvo7oOWvqkqYf8Awt6yQAgprHrXT/1RV
NlUV4lKTUsfCH+hRcP1VVTkImuHoIFkWFso+eFj/SVX15xbyH/YDcPVd9+JkRDaJac7/Z61n3XBK
NZ3JkCRoqy2mtuER92rl3JJGIEPQ8KXlRE2D5WCvJr8Pd0hRhxP6Jsvc6x73TZTXpgHIZZxqL84Z
JBk7NnBzPIQ/u2VK75Tvb1fNZpmxWyDo2xHlDautMUZIstYGfJOk545MDPQ/Cc0v+Rh2zkovGcpc
HwzLlq/DuHHLspq+tViAoufQ+iW1L5nWbk0WyRAStJdwd/VPWYUS4Wj2IbI2azWD77p0fIwNaD+5
RXzHB1DZhRVLZAY8hBofCzJBfxmWlf1U2ihuVn7m3dtkOceY1t1rmGikk1jBiPgtgPoMltPL7EQa
yrtHdFpfsbAo7wqZTzeLGhm0piVoNjMlKVFOy5pQ6dG9B6ThRNCDM3JJ1IxS1B/xjTRIK5Armbul
9pwXMfA2Y3hB0jFfhAjgZ6H6IX5mmNNniR3yzruFa53hIDb3k+H4+8nXzQNwZXlfzmK4I3sWkSdG
+vaM65W7Wug0qlQO+pVF6hTRf960gZWZyRb4wAzgOhMm0HrmG1Ky6XqW7vvoZdOThRVEHAQsInwO
RpmxMsLZdmhBob6udWXv0ZGKQ9NlEJQW2Jc3WMbwwjkmUa0SZLjnLeMjvm9BOMPv3f5ly8/N2CZu
Yz0Gy31z0QGMyoV2izTAnS90ZmoD59YyxvnDumgIhsZZ75ax9KIQkYExiiki3AXdQY4CwbloEdDu
pkiDyvYBVIF7g53kDX2kH+NRquLtomdoL8qG7aJx8A2vOSpkD6a0JoLAy/IRTrh5BwIwiNOLTiLz
ySwsHZGQf4qIeTZlnP7WVoQXmUUJRg8EEdKLUKmfFhuiPfcV6oz8ItTgIUdXdhFvkERBBnxNvr2F
DTWuHNtliug9SJ62iGHfFRaxfNeI3o+Rar7rBpq2vkhF8otohAB2XuVFSJLNSEqsGVFafZGZ0GJl
p+4iPfHqrrtBEhMSnjwS/XWRqAxcC1H9W7ay9Dw3v7Us60XW0m34DWekfXH5W/XSkZObiIsUZruI
YpasALZK7d1syGVEWq/FHi+rYlDlWdpFVlP+KbJRf0puNgM17JONUEs9eVyrCHPIjcmtV8vlWUhM
ryyu/MEMHgDIp/nb6moWdrNV1oANw4vklkTfjb9/KW5x/tpvITpYc1cjZSWRnikTJkxLGt477rS2
PCnJ1HJXS418eS1N7baHQZJR/LQUhaueJoyCaJuyzEDNWSFzLD+qahp0G+ulauFG5d5oR1tHYF28
jPbKyTYXWfbRWEV2SRa1KIMhuTZIT1gNgBDatEVTZxXrZU6nNtjmjLAowFHrTFV23CbhfsyyVdPP
oArhnaOP1CFXfD1P8lxMLdLtXZvSVfI/P61ORCURXYLnDVXrc1vNPjVmT9Mb2dNgp3yxYJ3896b+
d25qDPoWs4B/fVM//cbnRd8HWRft/7qr//rRv+9q8YfHHxUgaEFMA27y/w9AhPMHswfPvBATWT5e
fuWv+Yfj/cE+kU0fC3bfJaDsfxaLjs02Ei1BgGODGxuNzH9yU+MwZ77xjzd1iCvDM9E+YKZz0Pv8
0/wDbm7VDmUhsdYHlkpCPNcqInoQmR6kjT00W3eOoJ2Ih7BwkODZRVvc8t2V8QKZh6BQdH/PZVo4
b/6Yb/fSt9unZfTTbxiJ0FMirCV7SGnv2A1AT3ZY0b2rwkBaBtaYrkatNLvkNa5YCXO2qYB+ayO/
5WoFlIbC1YEM0td90odFRmzotinmt5TgQMeXkgDeZkaDFYSbu6+M0b3LrRLzDFhPENLrYiRmbzhn
upcWwJ3vtYB7ndzOT6RJMeWVm39jYy9mMW/TBM2N43APYtkI18JsCf/tlw+Tgpj4xiadfvG3WEgQ
3ZYRMtDpkVVl15NmE/j1lvyWI68p4VBR5U+yApKivCNBP2GQONpsvgo+8CP6V6wYkLQzJJtF+ql9
j2CJylLjW6eNgD+XV/bmggZ6a5VZPUKEYc+ATeROzWn73I3goKeR7MSrtV8zL3ZnjCYEXXNuc/XX
VkrH2XP86bwTD+Q6bknvd7yRJYFPzaW7ZwTulmtA8oHuvlmZEPdpLZXcQcE2rZjYe5dhS63kPgB8
zUQ+OMEG7O7IHA3vPXgZ+XWJIOQ48v7tF9mH15y+/UHnubrO5xCUym+ZLZRr+WRZvXgw8Crcsp/C
5rEJD0oDK7MmBfmcyso9FSTXn6Hbuidw9vKuGvrFeNLcHIkflITFjdyafY1kOS4Y4I1HbTQT/2bL
2Ttt0f9Quuk/hlnab1SatOmhZpEZeRlidMtoQNJM+YSsVG3hw8qwgcGyGz7ZQ5E9EPgJXTBcBypM
Dy8yRSlJOTx5nh1PZN5/J8paoJO2wuuuc4IMIq9Jb76WbXFMg37SJ4wW9nYo0tm4tlNjUZGygyZx
zFWQPz5Svk2n3ONO22Wqmx9JWfGq6xxf9n0nDMvZWYPvv7TUqTc5yzSVRcyYyCwVJfkk5HJaCNKJ
Z9iA+u+MslTdtjN4I5Axe4UUHygzQRVOIVRFLMtOyudjqGWH6GjuVYKIgZSNwdL2fERObkznyWfB
dqp7dKxvdjeG09njv+GieDHfSVU0njY1jIyv0pugaZarYpnGt7xvbgkByK7ruSnCnyWTwsUGBdZI
1zhnjUmaWAAu58VzzGJfaGwRJt0ooeRbtUcJRHCEQyZvrzP1Wkxk5BlhLm+Qz/fs4EFazlYes4q2
faLtbYt8Zp6hVyq7jD2HnxvPLVCvgxwAIl5w3E0XoUnq4qLENQFUKsOriz/q02t5DcfNLEDzLbM9
x9u0rlcGfpITUHsv3sL2UWpxPZVjeioXa0SQINezKsiXDUAcJu7EEKuX64HphwGPkJOGrRaAZ33A
Xliy1mPEQPcQ3I7b+jTpEQ5Dpg5Q0b1XkDzbrpwZsOptlndoph8tx6FYHjQf23iJanTZNi81GnvR
+dk+bcHDl157Zbbd+KvcgltT2+kHvmDFDqWvn1r0onflIscIrzFbmXpc7q05dfYXPDc8BPa8LvKj
ohcYmNHSRnlOQsZmVRbrLX7KqsDmw2iQHZh4/SHTALpyHdzpbriZVAXQ086XCATAcOhT5tmlb5g3
w5CqO38k9pgx1I+Q0/bAMFAkRbqle9Q1VPOpN0bSAoCiJWvdelkMcNOFdUWu64I0NPsmC3uMSXbB
hxpsbQwajihbcJRvYBTU0Wyy6QVO18SDoYwDuu6vefDrw5aXWzINynpeLDv95lSe0RDkkMMMLt0G
8xucnNPsS1WhyHC9qxZV+B7LAVVfl8ni0KERPhNEiRPfMIKHuctD1mBcTdCci8PkuQ1Pha8Dopx7
6FJLhSMkEX0xwcDs09ewxyTieE2KvmHOQW6I/kcrK8moHFjnexfUzd6al2GXFrbYN+MUHqReuo9O
peZbOGRGMi1zG0nV6tuW0RsLRIVaFavJg8Mv3CDYMe5YZb0GOLjMyAoBsAE+928p1ax1N69TRRTb
WmbXYdWIcAekv4/qqUB3VtkOyTs9g5yYVIxt5yHOJ/nAcm4dWBg0uzmREAZj1wOxzAQBdEFFDnBW
xwNJP2wRZ+MVZfb4xhMHPbWYVXdlOsNlry0fCCUzb4lZbGMBZcKfax4DV+3N1R6jlQgxWkPQ9QSQ
Gsz9gvKXM7rNr5lknBjZbaNRnqQs6gfX385klIVgZbcetBhDrBcJ9OoxDyvxCekrSzoa5us+tb8Z
4fxVoO18Z2YBVmBrTWISvJfW9YwbvlNVZJNIulsszjm99elLNriH1Sm/pf78k0xF76AlnF2d6iVi
Qv2+gfCNp5qVeBAM3/sGdsPimCfS3CoaF7v7RQLssqtKAwG7IOFzQXAuIxv9RgIKybrHhTkkDJKr
h9byb9tsaq8bTX5kM9k4zdAHXhbZ+aC6ZLQafXtRWiGuGj/nMn8mNoRSivqCfau1U85SHwMLIAzG
AihIQNthD3r9pZjpRTS5A8kk3HJJ3qbFd7uqng0iXS+GH5MkvqA4ykIEv/AcPZKw+gVSBW1KgWXR
CD5aeGZx7+E/IbY2OIdk8gFtmV0mBpBJMuId6BTO4PIIQc2Ju1ugsMQiW5xjuW7NyVk6mG6scUvf
einUVl3XPPM7OHTW3hrG8GCXJDFCgTkMS92d5bQ+uTof9+RNt7sayxsWQf05UX9GkzPLJybyuBdG
zXudNs6G4KhdEoxZEG/bsdmvM+aRwRA/08x+JzI0/TB7z7ljs1RHTGYeemviufJ+NnZjsWaaoeTn
RXfVtctvTf2voFGk7FifI57VPJ55ScTgjeooOiYlo0sYbIETBnGbnx+oWIJHTBwZGlpV7hn6rnd2
G6T3QyrPAx86weWHIjdv820kZSBgG15aImMfsSKisEoMRl35gn/Sf7ykaR7YL3sMYuxWPs45dr1y
ZCSw+PzrcMO6XOnXBnF+8ejr16ksDpdis7faOxlMWeSq8Mru5BdbC7bZYH1zw7xL1Xh3SadCPcB6
AO1E2TXfhhpaoB7XZzXO95013ZG9eEO1hkzG1xA3JoJptw1mZAoRJkLMyopAQN8EIIFuGL6W6123
pRDXftNDjGNBY28BSB6javS9jU3t6r+N37/V+NG+0Yn968bv+df6ffzHjbfz50/8LSV1/iBsiexP
gP4Ba+qLb/zvjbfp/+E7F6wBWvLfc9v/6fhYk4c+v2STyWcCPUAK/9ds1vb+ACkLf8xFiP6nAPWf
COn/FzGdjdw/tXwW63TXpvHA237pPe2L1vQfTA58X4wFSBM+WhbDb4vhBjvicX+K1a5vtWX0SW6g
fFwbWT0GStyMOGTf/aXsnzqJMNQcxvPMvhU6K0kfrpyN05Y6fnpYZJnfE/drfMcswrbal2aPYzUN
eJA9Fn/3beBtzoPrFpXdwJapreCkrUHYt6GrTfky1r2NLRRGtnQOCBsZSomOyU8ZmexOiJ6qwmVq
3F2aVqW71zozOeQ7NQz9Sy3aiUlJ0NIDnZFs+bBj7TSckiA3yVjJa9fuzpNLwCXnISRV09yt9gZS
oWhKUqkDudmv7paNLPG1tCSLaDddmVbaweadGCR6wI+qrQjKZ6J5DeYzVlAtfYzFWH4v21R8Zn5J
/rG2aYx6UJhEzvmRGC9xsnRWoGQnXsJ4qFZpXwnT0RcdXwhCq7S40RQLl3G/wONaEk3ekoiFLInn
kbi3SU3Ak9c6EyijVSBJE97HtjAjE06WA7AtnrK6RsC1zuVNzwF2LG31WsoC9e2kGDE3IcpblYE8
7ZssfyvWgtZzY9OP2fFGusNVjl/xbcyaFpHdiIdqZTfeLiHdceb/RKyu8GWqD83CO0L7FlWrc8rW
6nVdEAFvKMzOQrg/MkReiUN2yJMWM0J6+rQD/dGr4bRyx/mrDlieg72w2wOZ74+LLl6Zzn8xWJmu
9CjVLqzIEcz7IGrm6UM247lZZHuspqKLWTXH7FaJVWTsdtV1pkWumb7Ps0buKrt67ZDYxzOnflI1
yy+/aP2bxtfpvQolqAVzNUhdmlNasjSuOF0P7uJSLIMYspnhxwvu4yizEIC6asmv07kebsSk7AQp
v3kKZFEAR9PeDqcYSe8X/UUx28uhYUv9Q+T9el4ZSSRd7xkEBGzuri2zX6mTyjvPmJ64u9cnFtU1
Dgg8AoBKi2NL0s0O+pm/c+RGunDrAQxCIHPiXMj3w2CHe5jJ3Fq5ER4WX/2SXkVYWz4xOubs2LEC
KcB0rcUPSdg8htaW3JwMqzwS4pH4ZaLy0GdtkacNpLfmUgPEGvEn2Ouz5bXmbqirV6NOT+hW4SOM
Hav6yXjzNhYGDolc57z3wsjo3OLLmb3hG1wm7s4JialyEbgsPTpeeuHqGvXpfOVjyQU5MIg+dpDa
fsnJR5m5YCzz0I4KcuiGcuFuwyNtwGYy50cmKCp4qt0KqLppNwQRpkNx0Qn6ewpekaRBGtDGYCh9
Hn2SdSfT0tmhKKV9budsYBfrTPxtPFgVmFrGpnPd43JNl+W+VBUZcguPRRYu7P/B122ffcehmmSB
u53nqWiPqPXIiDpMPFqg6DbfXKOeVwv7a1TTl9WT5UTHnjL3Wuc5/4KJG/JdUzAqKAT6Tt3awhs/
yOFR9MK5m+u9tTTmVd6GzUEVCCzy3rAP+PP5l1Us17fSPwS55JRYlR1Jk57BozdAbqAvPrLeSdJQ
k9eWgVO0hX5fLTd8DYqOqMLSgJxWvdm6MMEeVBJROZ280bu3pUmQ31CD9miN4jMdxRAXdle8NkOJ
h9HvvOLGJqyAbdisSfNBx37PAOulr5EWYZF3GGq4tTxb4bR3Ame5BtTcPbpOaDxhuQzQWXgF2RiQ
HHUTkgU6ZyR/7dRq20kq23VP00ccHmocFOsTXd80TQgfcgkcuGj3WH23w3D51lZu6j80enH2aY9T
lwEGgm2kkaS2FSQDjEdloUCAnUfIZC+02G2p3z4oZ/toZ+kd3aUJfw72+BAQPqxY/jkLxLLp3d9g
URYmsQy2s5xQD4i4YiQETAIC11fKCiUpjcm4YkeT78UyWxhlNeYIiVN5wyG7T12L80Bst4US1Z02
zOVmK0JkUNuMKb9d7d06YjBdAvs3pQNNeuiuO1PZYEDKct511nAAlDJwBk83uGAvkR4ofENARpEJ
SeGEIoE8U4XYCkDM4yyQGVeCkSCRSnC/Zxke+3U9GFsfnkAmpHTWq8kUMWx+bp1cEvPigp0tAz4d
ck16WYmrFF/V+BwWJbp+wUKVTJEwBm5yYp+YUXd3X2sfvMCAkIkO1bw3xw4V9QYD3XBJ4sjbFanq
3Kxno+o/6YNvKDfnKwtUJ+LmS9dpB+0dvjXzmqWGTFpzK/eqmMyTZgx9NHDW7fqupc1iMhyJjHUi
6g6C0ioUnnZTcd71/jet6Z5aDN+QQ6ZvtqyqK69L2TnBj4bfobZdR1jDNc8AdJTCzSNVVV+zX4f7
tdPfsFaSOKHpq1FaEE6ZkmfKLKXk6K9Ckl87S6Gnn4b7tLLTKGeWcwuhc+FyZ8+LHONDWt4XHecv
dyrqfe1RMCyr+9YMcw6LcITWIPij9OAigKX1/hpm16bUL6uYDF3Gw6PK74HZlQ+hLbuTKWx9vVQT
b0NQfZub1Iw5TLFDIFh9ExsYO3dyLiGdbbRkDJ/KVXCu+0X9wwZjHjX2Jk8zppl9uQSE0CHE2eMt
ba5ty8bpsZF+tjjbjzFPSUBlLb9TIa9B5VWFeaEXr9BB9H3lIG7jNmX5jVZ8XlvesI6Xv+Aj++Br
X00MdVoB2dPjZx2T2Is5PYEcV5FRh9nDjPT23pvS8gMd/5Pn+yqSdXbr2nI8OrPIEAnnZYfQNuWN
ZrbrvjClVNGKrgVFuEhcnfo2G/gg45Ne1BbrnlFE4S8MwDNpM3xbW0ZsfM47u7Pk3WJppFasHo/B
6olvqhrNj9lcf5ZdOt1p0zHA5y/5ciy7ycE07i8MwUsS4lAYkquDsyUK7SVknu15PBFm89iL0HtU
mzmaEaemQYlhd3bkYdH4GgdHkFw/lhmfKX5iuduCwT90neXxlWkZwR9pcgG5zxjBYvQ3T12xzVEw
mdcAk8v3EVfXD5Dm51rlKYI+iXK+z5xP5M0eY7jC/mmB08TfgWy12hlIDE6dIo8O3nvOGn/1tvWn
SZxs3Ml5fNJq6E8ph+cNm1XCQFv/XvvtFSm1U4Az3pbr0TJ0yePsL8FnCiI8yu0xwD7vFW8Yjtwb
i2jIeGhUnXgoE6NOElkYI2pqEjk58nFw3IHMLN6K27WyBbPWVAIgmLo5i/UgMJewONjuWoEhIiP4
c58GatpbAYKHjtd1mMj7OZRemTaHHvfIG6dZ9cYVN7/XajWf8CWmR7MMipPpKSretPfPfbugDS2M
MUWS7av6NbNxvVwtxtbsQp0P5xB7GctqU1UJsWUh4aWsXPNmJaF1ddsOTz6iAG2Ow8OEou3NFHr+
9Dq1HMUoWVqX5XTnEvv9Ih1vIDR5lOUUOyyxq8ZjR0t1pV9DaLOypH0Y1TOsYVw29EmQgXXYOXir
6m5bkqLk+3BFClXTJKyb/ReVCu2/ZxUTmngRKzermN2QL+KAIWMbQGMnbuX6tz5kjo8lUChLZDA/
1brdrHjMW+OGEKXiI228dj+kAhxto9eaiX8LFkWUmdi5LuTN3dio5s1M1/Rh4bce14bjdWjCJ9VQ
GzN2m3+0TSvZyQfl3p90djW0lKR1u1wShpqleSbsOMdfFdgHBfXoupRjv4f8mscy6+uoM3TNCmbo
vL0C5PPAMmwYYk+zyCkXsoSW0pqvm1bPO9cuyQYN1uzehlG0PYqgHOTdmuUQ/8NsNXu/Qt8Kf6j4
bBiRbkBT59lmEfBJuVkwqNtVQa/cJxL40MlyjG1kBw0jAoUcfKgCoK+v6tU1sPmVVlLrrh1iZ8w5
R1dBvgEGLec45UBvAQs3c6xV1gVHdCCd9QM1UhqbRplm10COiW7gER7KxBaZQgxKegCZQQH5wjnE
5etlMrrjjFjgce0negGrNw7aQ6W8TBt+LjV0p4FnMp4np7juStjLqT0HXw0yv59mexmYDwXj6sPa
dM9jFabFh2WxvGzcUDFlJL9ajFpfQhCE+EWCUXb0STMwMHvlBhHsQ/CKKsBMMANrfGojBpnRHvV3
k8L6Sm2gqWr6Yxl05kHyx8K87SdipIvuPV/d5lEpyzsT5qciG21t7EHZAvuSN06SVSOaQDOlOuir
kWkeKtIBpemt6/ZNTL6B+0KibpOwuQgj3VplknHXUZz3W7LaA9GzdXBi1rvEksb9kUypcD9Upv3d
Q7d4hMfd7cDl9qgaMOkFqIYOReYs8SAvrJ6i8fl4x1z9qENjOdS2e+esefiJmv1u4ZUAqTFt1gL2
duytGrMaycXXFS0tgBbwJSyT/H7fhauX9Kwkdi0PJfa4ssgTlTZ5EtZc4ynmuG9knRE6GQbN0Siw
gxmKm6RVPu44UTMFM0xji9zScfYydbHnhIFxNzl6e+wUsFZWlTdrxSzdQ649UIEbdQKgNf/Vdb57
k6ZFwUHbZ6yzDL67Iwc/KaZsNmDw6gF43kAwG5eO2h7w64S3y5pVCbs6/1j5BXxqlK47c5QoKkzr
XgjiyMcRxiMImew7Dq0ybkm8vKibe3FbIeWM1sasEovw8l2J7uYjw96wc9QFbdaA7PswuvGjd4h5
yhdxcL3VMgnrWD7NlYtVFKY+bQ0ZHxaNZwEQi6jOtUUesqHc2aHa8mNf19/JEMqThU9rBwTlHdjl
VZ5BYNT9J0aW97Ekha62UQwloKzhka2Ok6Dsw5EE6+9cFqP3vRpXkMwgvyNqZsuMLrTeGhgudx6K
1v5aksvL0zIGB8usgsge3OK6zrLqnvmDacazu84iWTpzuR0n6u3SXOy4v4x/VjF2p7Dv60QDCjqy
+zd/qZYWjZDb5di40xwro7cfyolYsqobiPddp3PQFOXOBGxFOD3653zrgHL5cHpsozqzHF0edJVn
+4zFLf0apdjWFlvs6rI5tXO3VFG2jNsby4Vxx7znxkEt8Eop9Uy8bx8FOOquch9pQr9qCkeZn1L8
w4zZZ2OI22X+Flr9jbI2Bx69/doaHHnlgvq38+EQwvETb8iGG3JhBxbcplgie069Zy0rCGS6sq/a
Lb8ujPZj6oIRq2/+NPjYLjhJ92qjOmqzrn3KpQ2NEHqys7TuJznbQ2xmA8Jwo3ldA+F8dV1DqlzW
CkS+TD0ovleoRzvtN49im1AM/z/2zmS7bmPLtr/yxuvDAwggUDRe59Q857AUC5EdDFqUUFeBKoCv
zwn6Oq9EO6XnbN+ebVkEAQSi2HutuaoohfRX++HLYPZ0PPQwwH0OpvGuwVNMy8wP6eZQgBh3siVF
nc0/5XIn13KfwVu9K5mwCFmyZUWs+RDiTfBV3Bl8CcXWNTPM1eS9jHMSaY464YZXVXuXWSrra2xm
bKwtxElQqDLcya6AGbUd/Nxqt6Qt1VfgZvwL/oE/ykr/m4jEnZNWTB5+AsCwNrPjJFlcLXv8QiBy
D/3eyIg+cZeOhAdzSeb6OCdexqduPSqWpHVukZHci6UWWJeUtAOsvZ7lLpC4jl3eYtEQkp1w1Aqm
BFcryHkI8DFANi+4IY+4XECbJzWdnci4DAN6r3OO8C5tvGNtDd2OeCdv62Vufqwl5b8mMNs1qGUM
s5zi1qHTkNE03AJjezOLhBEfTpKmf3nbOEvaUDF5FyWRxWCHunjP2YUC4lwY16NwnjBDtKcuNHBF
KvLao9yG0W3W0TapCgs0DYczJfsWEm1kUrnoqpWZyTcag8Ftb5iU4cIxAYM4vWQRPWfRTfaOGEBQ
0Z39eygH69PoE07savru67Svxq+y9YZPzH1i5bpSrT2z6Y+qoRiFaWVthYZzmcP9ps6SJGhYzSw7
BG55SU45XonZdvqNSMaAnnZkFbQbzDg7LtkEFiinXZZM9WtrVdUzZAF7CViY5y+kVdJvsKbMeK1w
m1x7Zm4cUhY8tbI9Tx/8LFUkF3JEQoCcxhtYoLRWMCXZxTT9zj6LTyvCfY0n3b+uRjtEih73X4zE
/Yb0YKrJPDYIFKcMfTtrkiRl4o3luk7M8cHXsr8RInbmK6X9CgylV1R7qqAFAL/OroGbB+5uUQx7
tPoTjcuIpNw1EoN6hzUy5rwQGldWoiTyVxaDQxIO91MkH9ghyE8NMRA7iF3dge8AIYlq6dIF/uNI
OPmqjkvxKTJpLrWxfe1bbfha6BIOXBH6SCkFMoV8IVGdRhT+9jmnTb9quiE+sYfo9A7rbbVGLOX2
R6dk/lm5HRphePmjXopEmDpGamHsaQqElyWHG7Z3Y1VjC3Ur9ahqpzk1je9jHSWQwVz1CJz30xLH
PTEvQDJFo3hFL8q8x+tjuRuf3KanPuvyFZ9xSNGIAnVMlxjeg93X+KAZPc3arMduPzZlcp7rulYb
FiwsAND02DGhyFxZokMxqbplJ8Qs81xkrveCsNPn0+7T7lD7WMvwnTZsWn0HjF1k5MOa1Ff9SfY1
6R+lSacMNBakvloYwWP+LryIozTalFFIlhI1teluygadrW0+tO3c6Il0kJaDtxYs0WxBi3oDl/Yb
OtRyS4vgdjLY1s/IPY81cqmNrHtMrUnY3OpoEE9pyg58g6oO3auS1k3bVHiQkGP5d61UrKfMZdVN
PhvDk+Ek/dHGKNeviMDzL9VkdE+QUc0rkArTXtS+FXB4be3bFrrHXUAuNX1KxLYnw4jF7xNRMseu
9QcUqDbFUC16vtKqZFpdFdIvBXvGGKEKAR98lKPDitWPVAVXtgqi9IoK/+JOC5Sdn1JLTBL19Ch5
00WKGURF6UZn7c0ctU66cqdaYJWDCWrOXnRMHaZKQi+nbzm2jOfQatmozW4HV5gC01UcIHhbRWnS
PPWurHajwaobVQ6LGUNqw2En2ZpRm+5rA90JqLzipELtXQyj2W1BhWTn2sJpwM7eMs/VXI0PXVp2
8A80UDMUTs7aVfA17KQzbuusqa/kNPqHIraibTvM9X5s6XHbNQkpCMvH7tJH0v+Z6q3BIjbW9yb7
u7OqmnHXd+z+KWd6VGmM+A5Jx7D2gwijDL2MdVS3xWXfBV+MwbIIWS/CgxvLbmMgjL0MBj4NOxUx
vV37ooot/6bULkDVSQ5H1/DmceWC/HdA/DBoAvACbqeObRz0l2CQszOZRL+XviZnJJzMXepPr9FU
YM5xcEiGfkpZ0QoLamVqejQSIgI9nJbbWmAEMhjo+xhK73ogNfYia4EIr6usnASFNmKMbG1tXDSd
q05W7GXNWT0nOSEDHBXmA65BF+ykRRvX9yrqwFaQE0ghxZDfaYkueopZbFK5CEkydMNnwyPAVtK+
ocZKcO5UxTsLec4qgOAqs5n/boa3ra2n67ErqQMP2WPQis92xGSN2nebwHLZUCl5DQgMXwURDY8R
DfWmNXJzA/uz2gkrcw6jA0YvSmEZ1xwVHInKvTdnxMzztR0nNpro5olIkfQGD8AhNASmpabbD7Mz
vBiaNoiwjc+2if/CnNkh68ZAYDOwUCPleC2CtLkd++YWtV0+wZ71Wdqt5SAY58a1bwcT/gSElQ2m
prMzGG9QkPrLd2eeYv5fJbTBKPQEzudupNceFfo81LW+UHnz9J+29f9X2xoDM43e/7lt/fgV2mrZ
/dC4/uPv/ClUtn5zPBv3Dy/5D+vQfzeuPfs3B5GyiTHE+kPF/N+Na+c974C4M+GBygdSRO/8X41r
Ms1wfVuUXqT0LZT73j+RKtM2/16oLIgZs/CD8xtykaVH/mPXGoV/PyN+lAff5zxdxDFxmFFjr757
Jn8DUUNY/f1VFiq+zT1iSLcDmuPm8uff9cbDfmiETdDSoU9LUqMGM+AAi8fypcR4c1O4nn2Rzw0s
1mqGZvzzay/v6y8XB0LlIx/gRMnD/vHi4OFzYqJgDUVOUBGRrVpY3hoZdSERA7PAVK9RUNSYnkv6
K+08JV+1QQYyuxzX3uRIPqFWolDp2Nav7cZoYLdWMRK0dNnj5PApukkhamJKuOxbL7wrCO/Z/C9u
wkNUYMkACTso4x9vwlRODel0pskxawH0s5p3hVEg9vXG6aHBU7EOrcxjDoYaCtxE189sXP2NrKLF
AJ4Ei0Ba6JuKKg0HwRm9TUCbbfCz/AJbeEZLZ7Tui6TvdhMeSfQCBSq4n98DQ/Yv74HCRoCn2Uea
/5EJ0Dp230/eGBwoxY4bhRmKk5qa0Nql335+pQ/0gffhRr3ZRt1BZgiSkB8fFieBdmlsBIcByhN2
kIaX5/rNUXV2c2tK1NI/v96Hj+j9egGcMod28tKQWkbgd8NbWHDOC5oDB2w66pYZpV3NPQDTn1/l
b56fg7UZkppvY2FwPngKAkKI/Xw0/IMSY7JHzfCttoPkkLW/CmlY6BEf35QUABo9PjyUNh8nhTRC
ZzMyBg9i5lw+ey3J2gFjZpp4cVOBF5gaHL64quqyO4QT/rnOXTo+COLv4r6cT4WUza0isC1ZuQNq
Kpjd5qJEJGswIqHpCGAGmTdj82GIvBKM1mw6sGFSiOYrJ+IisKyIHPJFcmiF2z6N7pwcfv407fe4
k+89GowQcJY8TuGxpwkk2qDv31oowryPZ6UP45IZhDKEzvKSI0SpKttVS7aQS8iQzhVpQ0vuEIM3
PRAVABWHnuiOEg0snveoIhxFm8YtMeeBkbiSSNlevJFsI9p3W2WN4pMVFA0s7jGnRsnm616YWbCL
Z6K8OAbphzgqBbt+8pMyoOpklb8wnWUHd8lYinohD1S0wKIibjkU5Ftt7chNDnjlYUIvSU0xkqR9
a1f+PcTa9CI1qBuURPd2KzrgX2LsM+sCQ+MFYVrDdZ2TOrUaZpKhMLfl+yF05bYeBFtXB0CDizA4
X3dWVB0yVWWPHYSHfMmc4mBvXMugnt6maVpU/WRTwXiz9zJ02LmnbizWM0eaDTtM51ZCPLqv+7Z4
gu2WfSO7ukJpZAYT3SiFanM1VqbNiSDWnz2/zDbekpxFxEl+kU6kac1N4F67S8IWSdglcWhFMl5T
skNJnOby1SSUCywCblZiugy6BpfonowNSqRoa3jqWBQ0EIH0NVtwchd6MMorkm1J69R4wtjVUx0y
QEhxyjwvzxNlY1qv7SVDDNkMaVuF/Sxj7KeOjkFdZEVxxv4/PRjvQWRWYc5XFvB5AMZLUpnJ+sJR
l/QyUQX+RY/d/lWFbntD4ldL29rs8dt6rX2fObsyJgsNZSg5LY1tv1ZLUloWC2NjU/QvVsvO7oGD
aM+uWY+8Go1Kc0lcG4lei2P7VoQkHzK3DRfodKfVZOjOX5Ef/WYr3jnFtfp2UvllEpJPinch2wxR
Dg2DQvYKtEG/ViZHQwHCwIwcqrCBjj6hrbnEHvASLwly8ZIlF1qkyqXKfaJ6i2yhLKnWtOnaWDLo
Ohn60PwV/Wbdj8dyyaqrhpnUOtOGDpY2xqpbMu08Ti1MUWAfrKLE9w57GP8AKXiUV8v1tCTjGUtG
Xr2k5QFnIZThPUJPmQ0ILxYjb8MyBJks8l3i9sYENVJEBp9qW+Mk0cufuyWhT9ExfE05Vd32Sev5
iA0wf61MkdbXM70BpqnWak7TZDkXNOvzg7VkAXoVn4trQOXLYOJRt+u3MN5jmsExULIuDpfYlPKL
GpzocwqO7M312umzPajxWFBmACcewIOMauesTKPeNx0OAHTKw0WP7uzamKjYk31IcxSEmddaF7i+
vLnZWI1bbAuTpAltzPrBGcxyZy+7ezOL6i3SEZLbJjRV2E2SveU25Tmh8k2dgDoDyMXynJY9PLHE
1c174XDjVv20N1xMSk1rZmQEDtO3oVNjdWVOaNZDatALaRV1EiEPFBkKYl4iVg5rDv2VMPt6S0VY
bLljdfRcuAgjJpONiMHBomVvn5A8ONeCD/VqIlcScHsI4wV5TTV8tUhVwtFkcmxLU/Ulpku2c6vE
eyR8szyX0rPuDZP9Bc2TGGbOyO5kYMsHGsFcQbNL+e1y3TQ4Tk02M8Rr3uWYOj7Dms82mTmPAOzZ
FxqyxpCREawyOmRh1lHQP1Zdi/2FysHbbMQm6DJw5qniJokXnC/dvAqPM8LHwzTZ9ZUdz+HRa5eU
jBFb/RpKKdR0EBLbQA3cOfTM6wUSuZG9LbYYkODywAG9nr2aejmtL/6OCPL2KaJ8CBSMRIwx6wNz
PwxA50PDXVh/tjdHC4NWbu0gltcWEwP9JpwSNZB82r9uvg68PjyyV5FAUNwAKVeujoPLeLVsKhXs
gYfHZFDM65VojgAxBnJnpCPoMBTNPiwNeaKRZ9xNXCB+z31AtE9vcSMhtbyMQMDIdIH3fmd6ZGqG
iNnulImjR3kkoqBthE+G54b6b7VvU8H5n/2ifZLa3HcNk4KFWfxqeI9bQXt3QVKMux7yNN5VSzRL
Vfb3VEoFgsouWaFkkFsEmIjCS2hCtB6GvXqPeuHxe9kX5fhNfFZtQRwMehNasrrsJxqzhAUoGwfE
OaADXDOzTmSyYO9w4is0XLqYL96X9//wvn/F+5ZYW7/bCf0loe8xURFm0h+ttX/8pT9PrNhkHZf/
hKD5nYLBdvZPDIb9G+prbK0BRll21gvW+09zbfAbB1K0z6Zpuy67x+8wGGCAbZBky37SF0K47j85
sXoWaI8ft6dcnnI5P5LfAvX2hwOdP7hEoeKD58yKBgrYXwXuywwkn93UQIi0t7oMX6bSJ6+o96P4
gbkOTwHgyVMSR/2VXQG1ZQawd9ILrXCrPOnfxFNUn5Rb5vdVCUEVgqR/0YTdfcgq7BOi1ryaFO5U
sqEbHj2A7C8fRUdKWF2MrDMDjtc3GZakYy7JBc6k5WtpNiTqaEFT0a7Z9a2W08Nj51bG10x7+oEF
r9BfA4/jeUqomTNeUcDeKnCkfqTTk5lmtb93Bxyqo+1AwqWE3DtXfScsi1m6Mu4NRwLgwFkybAlK
gr7FxhX9RAJb1xO2vrKURu2Sxf5LnuU+gFFOsDyWSoiDpcfonNYWXc3Mpfxtcjzfhv44yp3VQD4C
Q/i7U8zliQUDxIA/OxupnOyzSttyK63QYZvHlJijP3sUIp3uikpa7DCh+e5JD69vEGCa3v7ddQY0
yHhm2mYJh7zwEJttvMmSNIddOwMVfaxbnJEU80no2M4Kky0MgZA4uDCIyERjN9mJ6waXdLMzMG/f
q8YnjbVGJbrinF0/O5GDewN2y72mYcJTZrIjtKYKrPsgo1SzmgRH2yjpWEzzehHBdHbOaURVnXXV
4ixc9EstLQm7Lmn4+ZweqU/HKMeIGWuIShkRF54slKH2+v0fczAJgEPogbqrpufkt57igr8j7Snz
znXJ2VsEM7k4sqPZmsL5SdbvBKhucBayQhzBEYq0JKOsykhcIHcxeGRDCZlCkRQyMDQdC9yn5DYK
4jL2I4HBGCe7AKRU3MnXGg91u3c6TE0rpdv5FKCx4T4LEiQIDyfXJXVmbshbHgr6ISc9dRnRNEfU
hfwCo9Ug1oFzwtN9z4IDJYmHPAqHjMropOx042svdzbUYV1xFQ75GO7aLjTh1NYDSTERmqI3PLVg
pvD+oeHFiwXMjN1svs8RIDXryiC1dljhg+QP6H7w47W73LxPbWFezSLjCapR81/mhuKP41LK0Oy2
B9oXVICopZLCZtTcRIib9sYHQ0sSDVd0vT7Tu8FwWYpzi7HZvOdVpGMUPo4IFvy17UhMA84ohnnP
RtV5NdmH+39kurkmGRMNZLdhhXhWHaIklc5tlPbBNrMXYFtiJ6rdYpAjDqkRCT8/snNua2Lnd47R
QT1RN5+Mx/ff0s855R/yCaLnmnx7fllZu4wyoP3WVaDA6wKcbYkAbN2R94ySvpk/YRilCFXlyysV
6G15JukiQOvAUp8Ct8XvqCr+PZiWODpq/kiHjIrDd1bBdyEwnWKGN+bMUF7aqINTmNa0S5o6/4YK
hxGZusYypqxFRRZJwy/2FSpDOGFWoYnWqzO91l7WjZsuYHuCb3K8M0df3wzpRPwGIw1BTdVjHc7j
siBK1wnqc+dzIqmlj2NSGA06D0GQX19gJl5PqoVyaHrhKV0ipXiZKIsWhtFdGk8dqUJweZ/pkrU0
ClIi6AZG8T5FmbXD6CfwoESSvXvXfkkNOAq06vksyJ7Rn3wXnaAnFANbKKhcZGxXxtmlTsDdoY21
8ZSA3Vt3o8rtjQxKGtQ8MpQVmqM+KujA+9LUKSUxq6x8e+uEyF9WosUgH0Wpc4HXnec76Th8VJ7H
DNI3kB09UYzXaI6crTNEgtNkZ48r0YS0uwpKcBe2xgRS5X4crxUrBk7HurzLB3Bq+GAJKwRZGYsH
WhAgwdlOf3W8wj6GxF0dUjjYb7n05kc/6rW3IwQvPTe0wb/ajR7v4eZOF3WB7wDaHuLlxHhQqaEe
Odu3GzyI9MLzwGcjayEfFNrISejEa5DTeN+ZPt7+MjLnr3AGcdjbY96egNp4OPtSD/9EMYf285Sl
NN9HNo4IQj2Lg6rKLgsp5EaO47KD1B0bvyScvbOMmivlquKrlEGMu9PnyIrhssGa2mn/iiLUnUU0
hYYjY9mgGfyhtc45XZnmltMvIAgTM8Dg6h0y9WGD/6e+HPGKkurQhzfloJhNJg/nhlH3d/TT6MmM
xNZ3QYsrAbm7fa6JHBMPYW1Xj2Ocq0/56NzEcmjuJgHjbYxai1Oq5X0qPTopJE92/nWDfxRCVM6p
JorNz5EY9Ylgovs5Eu5T34LYqbTEoS3HsloiyOu8PqBdXD58bOJ1UKBbEjdtiznRRc9HGpQZm+ex
mpEYhU1n3qLFr1COeeY2T5W1alNbweCnlVNv89FExQhIZ3wJa13ka5RsEgtlgTj8MDU5ydyG5eRb
NtnV2tdmdy+wSz0nAmkFSyFw6D51aLVynLwYXHICaUemL5rl/TTmfX/VCfNl6YFf1lSn6T2PunbX
Xhl2Z0yO6WagKPlpCsj1mHRq3WaW230bwDu/TAGRqq+6M/PhFvZkGHGOmLOLKM8QDTTqs5jm8DaO
LUw8LoZXgGg0kDrYVjnwrMFz1bFvbeNaqc7dtgL0InLg4mvejfrcLKZviNLolZJueAZtGW4iOHw3
QR1IUvbGiNZlCeN5ZWJVuvKMMLs0Q8xUG4BNxq2TVXLjOT35VUXurQbH1UeamuULFWhsOlX9EPY1
CV+meuxYErfIj+SmTc1nC1p6StDk2Zik83kc6ebxzU0KNUdrbUMDRGobcYSzKT5c9p46+D0ln8wT
HZpaTP/kKdTaOY9x53CHPue72LHzTVSLnob5ZFy55ADuTZAcBYGHB5FbTyFN5VWUu3S4BYd0SkiL
xoTmpFWj9GsFLtpYc6yL7ADNM+dYgNy0ga1d4ECuWCEJtW/9yHFvfIS3nyrlIA1VOHS5nxjC1ayB
RXfDJanaEg199OCaDf1MRT/SsnW9Rpkgd0FXFJ8w7Awl1JE03wnwoRstcmiL9eLGol8skYHSVb8p
tLJ3UJame1Op4TS1tvkEi4kJCuPtJTPQcEh0m7Sbrghu7c4c9nXZx/yrcOoTTvTmLpYFWgUMyOMW
ihIslnisrGPvpP0t0nwOcqF7AarBP1cZFVyzzUNMUUX/GPcxBZOCaoi0fDYUeogeBrwDiBY0UvSm
tY9uXeiDNpGXO0Hs76g28h46lY4QXQsTY4Xv9a4iFi6WfAlFl61rLZsdcgRWR7J1CTj0inxf41F4
RD9prIZaq0/47z1SEpowpcBiYW9O22TT5EjMUX6tTK2suxgXTLsCUwfDDkviqXImhwJNPPUnrRyU
AEJogBDMp8A6SCNYe8w3b2nTu98odY7bJHPlfIiDLv9Se15zCFQQbvNla4WFnUz6YaJ2hLSiWlMh
duHUNOQZlAO2jt7vL8faEptwyrv1NDQDkQWeOGVpMVzNxNHaD6xv2WVX5jYYCUhzxU3aJfa6zSTW
aYIw3TtUpva8lkaw2BRStgXl6PyeWcKMdgiWUKcNJnvBzLWy64hFNhpyfUay1W7x5gUaP4ZPK5xt
wKUASsbMO9nRZ7SD6Khnm+ItuNHnCJrg3RyOKQi5KN41WT+dZSvlVVPG0M0RLhpgdSWykCrvTtpq
pr1fJvrGkl17H48FupjmVPuz3jSBaK6Ltmq/EPROraRr1NEaZLhXkf/IRm3cUZLZDJ5ybilZ4ZWR
Q5ZB3tNFlKNDmEdrlwTzPK1GR6FHpVeAqqUQ7nzX22b9u84KkqGZ8nJ8qlhTV3aJYK8kTvKc4VjE
7oNo/8YIpvnaoLyfoPtNZP87rXUK0lMJElclvRMuSYJMbhehdvdNbHt3lZU/1Xau41OZN154tkvz
tRuD+lJLNnKJz1i4yEbUNNDbp2yLlCtG+QK323xKCv5JjVD6yvCmQg2wI4JyRaobGRPj0xxjKXRs
5UfeTSTq5obV76IrWEHHX/Q0Pva9lsRxOqwWaZaO5Tgfm4TEROAPjdjXeko5F+OS2CmTWNzPk9e+
Bcr6ZUfvY0sK5q8NHk/QOzYdtgofGl/46CdIXG11KAsVnPFT1s/ElCCiNTqYsqLqv8CbdJyraPB7
+0LRTw2ndWsZcUHEVUr8HBaQYEut01HXhVqiug13ro9KWMHjEBObPmQAUlbOXIZs24ol8DQy7YAD
vdPNnwQpuGrb6Ewdkr5nm4l6/bWSw9h9gjGE+3fuLCBQ63IJxXuZOU+AAfA1B7YolDZ7/YizSMaM
cV94Ng3TfGrfGDLlN2Ksy092gMxm1b1HL9PMrIFWOUB3I85GxjJ3mhywKPbdzoAQ212QcnDYvyf3
TfyP6tqpajJHVWy5Gt6FXz2/n4ULt7Guvivf3PzRsPo/SFBvqqTs2v/3fz82H2k8StehUoOf1aQ4
szTzvms+ZuyQ6TagjpRUfTlpEs8LSdDKOa79/ELLD/q+X/Z+ISimbAPQqYmPo8tXnOAagjkPCMR5
xbWPNYSWDO/nPcq1TZbUvqjSHEJmVtlftPH/enUauj4h9xj20drJZex/d5u1MVkeYlIMSGkt7t1x
pJrdJBP7xyVQVsPpRDfocQgwxoJj289v3bL+cu/QR4RJiqHl2UBgPzzkMZUElIaqOrREmWHjHqPe
uQRPL+7LtOXYjPiBmx+cqSKg+j3NUJX94leJvBzdgbbu33+h/5Q3f1XedN+pt/+zHucpab9UVNd/
CE+gILkUCf9V3/Td36DyCUCAAnEiCWQMpX/VNwPxGzZqMhLYmi0ahWWU/Rme4P1mMuodSL70+ak+
8gP/rcgBAuZRYeTjYIxwrX+AkvhxEieTjOMpdC/mVH4awWkfBjqV1TjDZOue2LyrgyoQqkirVId5
mqjsdIpy4s8H999d0BOuCTpQmih1lgnmuy8r465rURfyZEvhb7CSJ3sYOAhGcr85RFP7qwnrx0Xj
jxv0HJfnhSuaAvNHHUPqzi0nUOfkVbH7mgZcwF6CpFpJrevnt/bjpPF+KV417xo/LZEXCzTk+1tT
WMGiPrOcU1aM8hXSBE3mbuYDdqmTXXVIoh+9DHINfXN99/NL/81dMpIkowExOXGXH17j2GS03gzl
nFpBtaH02QGuDFkiRB0iVqCfX+zD/PR+o4xAvHpUQH0Xfc2PN6rJPisgrzmnsXK5kFcrSmljarIg
DJ1H3ai00zo+FlpTCptUPLSfAbiSVq1zYsdNUf4zscryC5H06rvoFMBpI1z6MGGmVgz1IQqdkz86
3O572co0smT/v7wWp32o3AxhBs6HARWlNmnhYAhPdkvWfe8Y7ZvXFfquT8WvVqHlOf57Dfzjtlj9
6HR4poQX+mHDk3Q1YchV75yGMP72RxlMFMYv3uZfhw5qQFooyzO0mKU+vEz4uI7Xidw5zUhoT6k/
sLT4ECfX1oz98ldL2/J0Pt4SCYhoyqiMspv78KZIGbOGGXriieRPVjJ74Jo0/Cg7vtfu/Iawd6hk
fKSoyFAid7BKCCL8xebib0YwtTumPXP5VB2kTD+O4FCwjQndzDlpvxNHm3wMA4xFgLTIaBmhTcBu
I8sEy/w091hK3z9eaq7JnhlEHX7+Pf3dGwC1TnFzedPeR3xrRmCjLnCFn1q6P3e0vMbVe+nfqVWw
/eeXYv8JRp1qg/2XLbSufVUpr7FPieTxBu89D4JumOr9pRj884v9ONUzfSPmYhsXOKwskEI+Dt8a
4Am8yto4Iu1m72sYqn4u7bx+nt9LwEhP/F+MZWt5b/8eXsslkat5S0+Q0Yx47cM8WGczqjl42kcT
JsmeXgBV2Fa1+g5mob5L2pD3astZ38R+ii0torJc6I56tVGiA6OuBB6xYfl7n0E67JDkqs2CrkMY
G/RREhw4v3hI9CZ//J1Z+AHsLShgDlS0QT+mgaN+Tx1d2M6R1MIC4TZKhipxCSOz2qzHdFpMOlrn
lAErKrVpPblbix92i66IBhL1W35HyiDMvSGM9rcZ4eabFhlDF80l35VoDGZeHLsW/nxrpKJpRYHz
2sQ+wfcuRX0z5a8phLSgTvh7FIoE7Q6RNs8d8bonikngd1Me4Iqi7nQDgMlQWxBZdBfn2EAWFYSN
dbBayY+GEYRWowhivHsk5Ib2CtaNTU5J2XANnyf9ThhumgXf5AwOQhjAJXTGYhLVVrVj1c8Thnvo
/iEGouNITZZGYlSozaSsMj5mCMHeAFY0z15dwoMC2s2mnErijSE6g34Ou+HkxZoCXpk3k0SWEcA3
ho8N2pDnssvc1wxYMgmRVPheJyto3/7YYrvDIF+LKRNf6jkUBxqFzZ1yIcpT18a5mEQO1OQ2wNA5
Er9TrK2JZpdBgfXkaHo1TpgZa1s7PNEwCR8nRyT70LYxZ7eYQYxKWPfIPZbAECrid5R950eBUvGt
DhzeU+GOtOS0at+yIhKLEJCz6NyGlEb9SQWPfT3xf+F6gWoclvyUIp2se7TL1pXTmxxC3lc5HIv+
DtdIbtObi1W6HASwHU0eLkYCV6g0rshdn70jXnZ1MFJP34C0DM4mjZK7DI6ypghtGGQaQfW6ahJQ
L3DqTfnqYeBClJymNfGaFU3wNZorzz3Wy3xpkBQECcQZEPcJus/NGgkkKZSqY110K0gKjOBoIghr
9q2r2CgwXE6yoHMWVsTVbmgYLD3SjDidlVXajOWBmJjHluotB9wOUbE2bPrels9a1HUe7bgpZ11e
dZg17HVto8OZSb+L1lZSyFd4xvLVjcEYcxpSxBTIyVKfInsWhxlPu7cRkeu8lMNQ3vtYyy7xI+Wb
BtWbRRwQGJod0lF1TPJqoG69tDnbXGsasTN2WLMN3fs8nwn8M11khCsyVqYrkq5NrGUxHrgiC4gQ
lS1MDmk4lDTn6T5DYE1dE7gj5WUcVSVjEjep2Za3HShoCqxhX3ytpOq++c5cXUjh9VeBK/FRU17H
3tdnzEzrmVCI7WjW1N06Y6o/o1ZU7a6Vk/tFoxsCI1OWZ/KaVLTjXOtB4+prKrqoj0C69dVVkA6g
V8q5jV8imwxbr+rqSwBwVKPKKTxZU+c1e78d3ec6IZVoKoG5uNFYHUnroxCvR2d+oVCVbaHAzdRU
Bl6jjwmSyISxfEnpfHU4eKnrUkP39stmlHqFblpYjaowtg17wIXtW+wKn9o4ExMUSyRzd33WGhcl
3qWLVAGunGQ/fcX8N4KvS4xbmpTF5yQbiPqZyOgElQoGuwGFhQ/z1evARfvJbGxCUqXW/aCsXVFX
/CDfuFq0lEz/ULzoAykMvxvXy/F4rrMGtQfkU7QjEdHhra7HMztdxMe2NclNmQwIMTGrZ5ApgnBD
9Ty+wN/YwnZESDBXE8iiouofsLxhEhzKdtdL8mfL2PySg7/4HOSJWCWBpXetgYW+z/k9AjKFblmV
Zsh0TO9n12lG4Lcmb9SLRHrGSFjemF1fAzXtGNQGoXnd6xSiGDAQF7Y43TkxbCskXunJ1SEbbAQX
NL6Zbbu3SJlMSNWMAoHAZIas2Q0BXcaetrvfa2luEZ5BaOmqxiR3yAtphgtpVNjVHH2DMM5YexNV
ja4NWI/9XgLbADGAtkTly0+zdA31LumYgpiNF+5mxWyrOUe1gHcAyg6zdT/UDp9+H0togRo6+UFa
Wf1c1wzbdeUNtKkzgiqfBWHO7OfifkSMVolqUXa3cDVlGvv1t6keHPhkHqTWHJHEtkyd8Wvhk/aL
R9SQTySRQVuKg/aAHBUWeKmjpF8hkIh/b4fuNa2lvZUOWQ5rqMdN+xlzYW98gpJe2QdfxP4VqdPJ
2sUuuI3HsQHH58478urrhzmIsNxCTh8fBqmKOzeqv4kclBda5+usE92BeRUKqgggzDq07t6iLo7e
5iQZP0W9x5vjiyfulNRXslgI8JxXQ5xk0xJm7R3B6hKRrUdMgnBCmceh37fReCAtzDw5TTX9F3fn
tpw2EoThV6FyTxWSQIKqTaoC8dmY2ImTzd6oZJDRGCGBDkji6fcTIMJgjHctbaqyl8hyz0xPz0Hd
f//dn4eRdqfDWExhuClMWF2dWQDIij/hG+CGFCJ7JYJeAUfrAAyEO5gT87ubiva8F/hKOCRby4Vk
Zqk9+B19cRXpM/iqWqYqoM9raxA6O+RCJvEyIbA8d9kuKFtCXnq7eZkliweT/MMvSTSe3CpxDJe0
GLf+miQ6RWkCgiCclXn1uDlefEgeM9EHBgvjeyehoqCzGIeWKmAmxqfZOfFwfV+RfFQ3u80onAZA
CjNBaNqLSSVUVNXsiqZppNA9edpXHXKR84WnLWH1cczrRhYvbyMHEqDOYpz8iN1oHp80wrApLlOR
pq1e229Ah9c2Ify60dNGMjvrOHEIr5VXv34ylv59Q0CF0qtPgAp01brRmJzHGM9Nwgn/qCzmYT+e
zRZnIEOyK9xoU9goOg7ASyiqNPC6MGZDdqaI3oybRR0iA2NxO1YXCcXBnkwwhCFb3o9JGmkUMHBb
16lQ2UaJe3Wi3pzSkMknFZYqs0f4QO1HRgbfYNaZw8Dddo0mG6ICC6Cqx+Zpp04B5fFs3LyAOgQQ
pquDi4gNcRfClXIfK1n4rQ3I42SRLic9EgYJtJBkRL40kVM4D58M0NuJQVq4uXRIiYdYohs1yMKB
wB6CjSaq+rxY8p3iuUsjILZpioHaAP/VCJJ6vyUigNNCm2un7boWEJuZea1T2KFa0EqpohOexdju
I6Xt0u+zthYNk5ZpjBKdamSnjZkeQ33uKi0A6L5rQKndJmMBvvg5MDUH+vRzI5o9thw4bMKnqcYp
J8LoUktScpN9HwprJxXzrNskXAAtP9wldZh/T9SGbkZQ3HBnHy8zCL8oNZizjeJzb19NYtjI4DZd
/OnomQ90arx8GgD/MBpdE/zUwCNrM+qSalS/deoas4ZTXYFPZZa4afwtBWAK/cfqo+Z/4wvdDCRH
Yp6scg5vYzvI7uyQFbPlmO05wh2t/izs8N+8UHganwuo2avWLkbv36l4vqQXczfruu31S/nvD9Zo
SsYJJhCIYfRH3u2dP65+j21/1c7m3zcje9601FYxquLhubADC1A4mJRIRNmmmzfW1H7/7qNrPVhT
CZwKohQA6M+evH8n9XPnA/gVweFkT27uKCotNxBLXy5UgxcKf0J5wRPLC2VKZIJWBCbKSu5Zrnj0
gz0MMFAeELulZQNcC6yRX0jKjc9Y+bDLS/Y8exgJCsFLwiHKKH7nVvk26/hku1ZiBXYhKe92u61V
oOxiOdX8xxqh6nj6IEOvCdZWYIUkUgRiJJu30sjzEMuq/cz2wYvLkoEl4pIsK/kcjQtRyMk1rmir
gEtZwRcjy5EMUKFaYgVbyIVLSSpfhFKXQZVVYH8X3khYe7tIjr0vmnq7ZV/4iTx55GCT6FhWx1fP
9ybiChWslyt6Fg8nWdHFlV3oaLl48HZVXPsx1N37aqbgZwW20beEJ+0eeX5+BX3uW9xdLW9UjD5X
h0qlsgqmsG+FoTXkQm5HkWTTuOCbVahEDB0xtqRALKkJHZytZa2vLzgLYA+RLFultFwFC6YvQsBv
FEqfSXsTcPtGRdJ9yG4KHazmUyGhv3jwdvPuQ0OxZ9y5k79TXvKN/RBYe7cnAjR6JaIXlnxuqeSe
VXB9urGT2rk1nYWOkI915OdVIMqaYC7/0g5COytkraYSXsmKhPftVAylYwx/VxUnet7zH4BJ9/qt
V7B531C3yqkdKt4IHbBSWQOfrMn+2idKU8GVZOAIWeNNrKXQ09tX5mDiciORv2pUuDwq2GQHgT32
5S22CQSgfJ8/v1Ix+2XynC0259jn2J3jj+zaRfjsbDP0PH2x7Or88moV0ZL9Xzfw3BA1DqEK7oNf
0b4dhrZ0pdCIjlewM75YaKekSu4jyylmLt8LtSaR0+LB2xfPEYKlkh0+lglbUvR3i3OHCmfy0gSc
26xgaX63w6h2sPPAUCswvqMQurKKyXx8TOPCLFZ2ogP2Kh68ZCeHPE0fJJfUSd4z2Xf26gtb79tn
vv296ICI198ovFoHRGy2sXyQa5/QdmtctbTn+ZIdSS8pAqccTridxgopq+tHDnCjkY22dt7aV8wz
Mf/4hZ1BcSfOL67HRpXfpnfvu7/FsFinLNNjw1pfdD5ObTyllmy7oE8peYM17UjYmYjd6YILzeB6
8QsnbH3pODay/bvKbzFhG7NfG/WBtXVPQS97VPsSWZG9/dRdj2zox16Ue+OppsU9aquaF6ZM3drG
L1pjm1N0269Do9s5eH+H6fpp9i9OmLykZtwS7fV6+kVaX7usjykdX67k6P6PFf/auDmn8leGrm0F
H/4GAAD//w==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12</xdr:col>
      <xdr:colOff>479425</xdr:colOff>
      <xdr:row>14</xdr:row>
      <xdr:rowOff>3175</xdr:rowOff>
    </xdr:to>
    <mc:AlternateContent xmlns:mc="http://schemas.openxmlformats.org/markup-compatibility/2006">
      <mc:Choice xmlns:cx6="http://schemas.microsoft.com/office/drawing/2016/5/12/chartex" Requires="cx6">
        <xdr:graphicFrame macro="">
          <xdr:nvGraphicFramePr>
            <xdr:cNvPr id="3" name="Chart 2">
              <a:extLst>
                <a:ext uri="{FF2B5EF4-FFF2-40B4-BE49-F238E27FC236}">
                  <a16:creationId xmlns:a16="http://schemas.microsoft.com/office/drawing/2014/main" id="{C683D515-ED3F-4406-82F9-4259BC2026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03750" y="0"/>
              <a:ext cx="4568825" cy="2746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mze\Downloads\SaltLakeCity.xlsx" TargetMode="External"/><Relationship Id="rId1" Type="http://schemas.openxmlformats.org/officeDocument/2006/relationships/externalLinkPath" Target="SaltLakeC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Year"/>
    </sheetNames>
    <sheetDataSet>
      <sheetData sheetId="0">
        <row r="11">
          <cell r="B11">
            <v>1008741.24</v>
          </cell>
        </row>
      </sheetData>
    </sheetDataSet>
  </externalBook>
</externalLink>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issouri" TargetMode="External"/><Relationship Id="rId13" Type="http://schemas.openxmlformats.org/officeDocument/2006/relationships/hyperlink" Target="https://www.bing.com/th?id=OSK.9e8d8b39f5e82ab79a68413dbad9a090&amp;qlt=95" TargetMode="External"/><Relationship Id="rId18" Type="http://schemas.openxmlformats.org/officeDocument/2006/relationships/hyperlink" Target="https://www.bing.com/images/search?form=xlimg&amp;q=Salt%20Lake%20City" TargetMode="External"/><Relationship Id="rId3" Type="http://schemas.openxmlformats.org/officeDocument/2006/relationships/hyperlink" Target="https://www.bing.com/th?id=OSK.e3cff3492e954506af4fb2c8552f6135&amp;qlt=95" TargetMode="External"/><Relationship Id="rId7" Type="http://schemas.openxmlformats.org/officeDocument/2006/relationships/hyperlink" Target="https://www.bing.com/th?id=OSK.1cd4f85af3824efb5042b916ad3717a9&amp;qlt=95" TargetMode="External"/><Relationship Id="rId12" Type="http://schemas.openxmlformats.org/officeDocument/2006/relationships/hyperlink" Target="https://www.bing.com/images/search?form=xlimg&amp;q=Oklahoma" TargetMode="External"/><Relationship Id="rId17" Type="http://schemas.openxmlformats.org/officeDocument/2006/relationships/hyperlink" Target="https://www.bing.com/th?id=OSK.2c726e0e6a4a13da81240263ca480eba&amp;qlt=95" TargetMode="External"/><Relationship Id="rId2" Type="http://schemas.openxmlformats.org/officeDocument/2006/relationships/hyperlink" Target="https://www.bing.com/images/search?form=xlimg&amp;q=Denver" TargetMode="External"/><Relationship Id="rId16" Type="http://schemas.openxmlformats.org/officeDocument/2006/relationships/hyperlink" Target="https://www.bing.com/images/search?form=xlimg&amp;q=Arizona" TargetMode="External"/><Relationship Id="rId20" Type="http://schemas.openxmlformats.org/officeDocument/2006/relationships/hyperlink" Target="https://www.bing.com/images/search?form=xlimg&amp;q=Utah" TargetMode="External"/><Relationship Id="rId1" Type="http://schemas.openxmlformats.org/officeDocument/2006/relationships/hyperlink" Target="https://www.bing.com/th?id=OSK.face1a8dba108bdb4701542aa2ad45b7&amp;qlt=95" TargetMode="External"/><Relationship Id="rId6" Type="http://schemas.openxmlformats.org/officeDocument/2006/relationships/hyperlink" Target="https://www.bing.com/images/search?form=xlimg&amp;q=Kansas%20City,%20Missouri" TargetMode="External"/><Relationship Id="rId11" Type="http://schemas.openxmlformats.org/officeDocument/2006/relationships/hyperlink" Target="https://www.bing.com/th?id=OSK.dc4854218778b6f007a0fb39483a9a3f&amp;qlt=95" TargetMode="External"/><Relationship Id="rId5" Type="http://schemas.openxmlformats.org/officeDocument/2006/relationships/hyperlink" Target="https://www.bing.com/th?id=OSK.XsN-3iVAVMIW8FUbrKZXkAj49MjszvGAX4wIYU2jUA0&amp;qlt=95" TargetMode="External"/><Relationship Id="rId15" Type="http://schemas.openxmlformats.org/officeDocument/2006/relationships/hyperlink" Target="https://www.bing.com/th?id=OSK.0641697055dc04237b54e70519cef566&amp;qlt=95" TargetMode="External"/><Relationship Id="rId10" Type="http://schemas.openxmlformats.org/officeDocument/2006/relationships/hyperlink" Target="https://www.bing.com/images/search?form=xlimg&amp;q=Oklahoma%20City" TargetMode="External"/><Relationship Id="rId19" Type="http://schemas.openxmlformats.org/officeDocument/2006/relationships/hyperlink" Target="https://www.bing.com/th?id=OSK.1973703d864373b47ab825b2a978ab2d&amp;qlt=95" TargetMode="External"/><Relationship Id="rId4" Type="http://schemas.openxmlformats.org/officeDocument/2006/relationships/hyperlink" Target="https://www.bing.com/images/search?form=xlimg&amp;q=Colorado" TargetMode="External"/><Relationship Id="rId9" Type="http://schemas.openxmlformats.org/officeDocument/2006/relationships/hyperlink" Target="https://www.bing.com/th?id=OSK.544cb91137614b36e4cbcbf5b48e374c&amp;qlt=95" TargetMode="External"/><Relationship Id="rId14" Type="http://schemas.openxmlformats.org/officeDocument/2006/relationships/hyperlink" Target="https://www.bing.com/images/search?form=xlimg&amp;q=Phoenix,%20Arizon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Srd>
</file>

<file path=xl/richData/rdarray.xml><?xml version="1.0" encoding="utf-8"?>
<arrayData xmlns="http://schemas.microsoft.com/office/spreadsheetml/2017/richdata2" count="14">
  <a r="4">
    <v t="r">14</v>
    <v t="r">15</v>
    <v t="r">16</v>
    <v t="r">17</v>
  </a>
  <a r="1">
    <v t="s">English</v>
  </a>
  <a r="1">
    <v t="s">UTC−07:00</v>
  </a>
  <a r="1">
    <v t="r">51</v>
  </a>
  <a r="1">
    <v t="s">Central Time Zone</v>
  </a>
  <a r="4">
    <v t="r">64</v>
    <v t="r">65</v>
    <v t="r">66</v>
    <v t="r">67</v>
  </a>
  <a r="1">
    <v t="r">97</v>
  </a>
  <a r="4">
    <v t="r">108</v>
    <v t="r">109</v>
    <v t="r">110</v>
    <v t="r">111</v>
  </a>
  <a r="1">
    <v t="s">English language</v>
  </a>
  <a r="1">
    <v t="r">141</v>
  </a>
  <a r="1">
    <v t="s">Mountain Time Zone</v>
  </a>
  <a r="4">
    <v t="r">153</v>
    <v t="r">154</v>
    <v t="r">155</v>
    <v t="r">156</v>
  </a>
  <a r="1">
    <v t="r">187</v>
  </a>
  <a r="4">
    <v t="r">198</v>
    <v t="r">199</v>
    <v t="r">200</v>
    <v t="r">201</v>
  </a>
</arrayData>
</file>

<file path=xl/richData/rdrichvalue.xml><?xml version="1.0" encoding="utf-8"?>
<rvData xmlns="http://schemas.microsoft.com/office/spreadsheetml/2017/richdata" count="222">
  <rv s="0">
    <v>536870912</v>
    <v>Denver</v>
    <v>5a7229b6-72d3-4bfc-a95e-9c35e297c9ff</v>
    <v>en-US</v>
    <v>Map</v>
  </rv>
  <rv s="0">
    <v>536870912</v>
    <v>Colorado</v>
    <v>a070c5c2-b22d-41d8-b869-f20e583c4f80</v>
    <v>en-US</v>
    <v>Map</v>
  </rv>
  <rv s="1">
    <fb>401.35976099999999</fb>
    <v>8</v>
  </rv>
  <rv s="0">
    <v>536870912</v>
    <v>United States of America</v>
    <v>5232ed96-85b1-2edb-12c6-63e6c597a1de</v>
    <v>en-US</v>
    <v>Map</v>
  </rv>
  <rv s="2">
    <v>0</v>
    <v>6</v>
    <v>0</v>
    <v>7</v>
    <v>0</v>
    <v>Image of Denver</v>
  </rv>
  <rv s="3">
    <v>https://www.bing.com/search?q=denver+colorado&amp;form=skydnc</v>
    <v>Learn more on Bing</v>
  </rv>
  <rv s="1">
    <fb>715522</fb>
    <v>8</v>
  </rv>
  <rv s="4">
    <v>#VALUE!</v>
    <v>en-US</v>
    <v>5a7229b6-72d3-4bfc-a95e-9c35e297c9ff</v>
    <v>536870912</v>
    <v>1</v>
    <v>1</v>
    <v>2</v>
    <v>Denver</v>
    <v>4</v>
    <v>5</v>
    <v>Map</v>
    <v>6</v>
    <v>7</v>
    <v>1</v>
    <v>2</v>
    <v>3</v>
    <v>Denver is a consolidated city and county, the capital, and most populous city of the U.S. state of Colorado. Its population was 715,522 at the 2020 census, a 19.22% increase since 2010. It is the 19th-most populous city in the United States and ...</v>
    <v>4</v>
    <v>5</v>
    <v>Denver</v>
    <v>6</v>
    <v>Denver</v>
    <v>mdp/vdpid/5083945914180042758</v>
  </rv>
  <rv s="1">
    <fb>269837</fb>
    <v>8</v>
  </rv>
  <rv s="1">
    <fb>38974</fb>
    <v>8</v>
  </rv>
  <rv s="0">
    <v>536870912</v>
    <v>United States</v>
    <v>5232ed96-85b1-2edb-12c6-63e6c597a1de</v>
    <v>en-US</v>
    <v>Map</v>
  </rv>
  <rv s="1">
    <fb>2024468</fb>
    <v>8</v>
  </rv>
  <rv s="1">
    <fb>2339118</fb>
    <v>8</v>
  </rv>
  <rv s="2">
    <v>1</v>
    <v>6</v>
    <v>9</v>
    <v>7</v>
    <v>0</v>
    <v>Image of Colorado</v>
  </rv>
  <rv s="0">
    <v>805306368</v>
    <v>Jared Polis (Governor)</v>
    <v>5a81ae6e-56e8-4cd2-95d3-f7a1b60eaa75</v>
    <v>en-US</v>
    <v>Generic</v>
  </rv>
  <rv s="0">
    <v>805306368</v>
    <v>Dianne Primavera (Lieutenant governor)</v>
    <v>f4e53c30-335f-00af-307f-4f95e90798de</v>
    <v>en-US</v>
    <v>Generic</v>
  </rv>
  <rv s="0">
    <v>805306368</v>
    <v>Michael Bennet (Senate)</v>
    <v>93548716-afc5-5fee-8c7d-c4b9489b4d26</v>
    <v>en-US</v>
    <v>Generic</v>
  </rv>
  <rv s="0">
    <v>805306368</v>
    <v>John Hickenlooper (Senate)</v>
    <v>a8a5bd30-12ce-eafc-0b7b-cc41fa0d798d</v>
    <v>en-US</v>
    <v>Generic</v>
  </rv>
  <rv s="5">
    <v>0</v>
  </rv>
  <rv s="3">
    <v>https://www.bing.com/search?q=colorado&amp;form=skydnc</v>
    <v>Learn more on Bing</v>
  </rv>
  <rv s="1">
    <fb>1002</fb>
    <v>16</v>
  </rv>
  <rv s="1">
    <fb>60629</fb>
    <v>16</v>
  </rv>
  <rv s="1">
    <fb>247800</fb>
    <v>16</v>
  </rv>
  <rv s="5">
    <v>1</v>
  </rv>
  <rv s="1">
    <fb>2.5499999999999998</fb>
    <v>17</v>
  </rv>
  <rv s="1">
    <fb>5957493</fb>
    <v>8</v>
  </rv>
  <rv s="1">
    <fb>0.10199999999999999</fb>
    <v>18</v>
  </rv>
  <rv s="1">
    <fb>0.13</fb>
    <v>18</v>
  </rv>
  <rv s="1">
    <fb>1.6E-2</fb>
    <v>19</v>
  </rv>
  <rv s="1">
    <fb>3.2000000000000001E-2</fb>
    <v>18</v>
  </rv>
  <rv s="1">
    <fb>0.38100000000000001</fb>
    <v>18</v>
  </rv>
  <rv s="1">
    <fb>4.4999999999999998E-2</fb>
    <v>18</v>
  </rv>
  <rv s="1">
    <fb>9.8000000000000004E-2</fb>
    <v>18</v>
  </rv>
  <rv s="1">
    <fb>0.90700000000000003</fb>
    <v>18</v>
  </rv>
  <rv s="1">
    <fb>0.21299999999999999</fb>
    <v>18</v>
  </rv>
  <rv s="1">
    <fb>0.67599999999999993</fb>
    <v>18</v>
  </rv>
  <rv s="1">
    <fb>2E-3</fb>
    <v>18</v>
  </rv>
  <rv s="1">
    <fb>7.2000000000000008E-2</fb>
    <v>18</v>
  </rv>
  <rv s="1">
    <fb>2.8999999999999998E-2</fb>
    <v>18</v>
  </rv>
  <rv s="1">
    <fb>0.23</fb>
    <v>18</v>
  </rv>
  <rv s="1">
    <fb>6.2E-2</fb>
    <v>18</v>
  </rv>
  <rv s="1">
    <fb>0.875</fb>
    <v>18</v>
  </rv>
  <rv s="5">
    <v>2</v>
  </rv>
  <rv s="6">
    <v>#VALUE!</v>
    <v>en-US</v>
    <v>a070c5c2-b22d-41d8-b869-f20e583c4f80</v>
    <v>536870912</v>
    <v>1</v>
    <v>13</v>
    <v>14</v>
    <v>Colorado</v>
    <v>4</v>
    <v>5</v>
    <v>Map</v>
    <v>6</v>
    <v>15</v>
    <v>US-CO</v>
    <v>8</v>
    <v>9</v>
    <v>0</v>
    <v>10</v>
    <v>Colorado is a state in the Western United States. It is one of the Mountain states, sharing the Four Corners region with Arizona, New Mexico, and Utah. It is also bordered by Wyoming to the north, Nebraska to the northeast, Kansas to the east, ...</v>
    <v>11</v>
    <v>12</v>
    <v>13</v>
    <v>0</v>
    <v>18</v>
    <v>19</v>
    <v>20</v>
    <v>21</v>
    <v>22</v>
    <v>Colorado</v>
    <v>23</v>
    <v>24</v>
    <v>25</v>
    <v>26</v>
    <v>27</v>
    <v>28</v>
    <v>29</v>
    <v>30</v>
    <v>31</v>
    <v>32</v>
    <v>33</v>
    <v>34</v>
    <v>35</v>
    <v>36</v>
    <v>37</v>
    <v>38</v>
    <v>39</v>
    <v>40</v>
    <v>41</v>
    <v>42</v>
    <v>Colorado</v>
    <v>mdp/vdpid/7636</v>
  </rv>
  <rv s="0">
    <v>536870912</v>
    <v>Kansas City, Missouri</v>
    <v>5b93ac88-7242-4198-8c11-93854400c8d7</v>
    <v>en-US</v>
    <v>Map</v>
  </rv>
  <rv s="0">
    <v>536870912</v>
    <v>Missouri</v>
    <v>6185f8cb-44e1-4da6-9bf0-b75286aeb591</v>
    <v>en-US</v>
    <v>Map</v>
  </rv>
  <rv s="0">
    <v>536870912</v>
    <v>Jackson County, Missouri</v>
    <v>633372c3-6297-7146-762f-f060830b8598</v>
    <v>en-US</v>
    <v>Map</v>
  </rv>
  <rv s="1">
    <fb>826.150937</fb>
    <v>8</v>
  </rv>
  <rv s="0">
    <v>536870912</v>
    <v>United States</v>
    <v>e3ef53f2-d302-b22a-64a7-6e0ce65be769</v>
    <v>en-US</v>
    <v>Map</v>
  </rv>
  <rv s="2">
    <v>2</v>
    <v>6</v>
    <v>20</v>
    <v>7</v>
    <v>0</v>
    <v>Image of Kansas City, Missouri</v>
  </rv>
  <rv s="1">
    <fb>39.049999999999997</fb>
    <v>24</v>
  </rv>
  <rv s="0">
    <v>805306368</v>
    <v>Quinton Lucas (Mayor)</v>
    <v>58fec710-a5ca-d301-5246-b1a5b6b377a6</v>
    <v>en-US</v>
    <v>Generic</v>
  </rv>
  <rv s="5">
    <v>3</v>
  </rv>
  <rv s="3">
    <v>https://www.bing.com/search?q=kansas+city+missouri&amp;form=skydnc</v>
    <v>Learn more on Bing</v>
  </rv>
  <rv s="1">
    <fb>-94.583333333333002</fb>
    <v>24</v>
  </rv>
  <rv s="1">
    <fb>510704</fb>
    <v>8</v>
  </rv>
  <rv s="5">
    <v>4</v>
  </rv>
  <rv s="7">
    <v>#VALUE!</v>
    <v>en-US</v>
    <v>5b93ac88-7242-4198-8c11-93854400c8d7</v>
    <v>536870912</v>
    <v>1</v>
    <v>21</v>
    <v>22</v>
    <v>Kansas City, Missouri</v>
    <v>4</v>
    <v>5</v>
    <v>Map</v>
    <v>6</v>
    <v>23</v>
    <v>45</v>
    <v>46</v>
    <v>47</v>
    <v>48</v>
    <v>Kansas City, Missouri is the largest city in the U.S. state of Missouri by population and area. The city lies within Jackson, Clay, Platte counties, and a small portion in Cass County. It is the central city of the Kansas City metropolitan area, ...</v>
    <v>49</v>
    <v>50</v>
    <v>52</v>
    <v>53</v>
    <v>54</v>
    <v>Kansas City, Missouri</v>
    <v>55</v>
    <v>56</v>
    <v>Kansas City, Missouri</v>
    <v>mdp/vdpid/5095866610086838274</v>
  </rv>
  <rv s="1">
    <fb>181533</fb>
    <v>8</v>
  </rv>
  <rv s="1">
    <fb>18997</fb>
    <v>8</v>
  </rv>
  <rv s="0">
    <v>536870912</v>
    <v>Jefferson City, Missouri</v>
    <v>81535f0b-c6a8-d0ca-9542-f43e51dc1f18</v>
    <v>en-US</v>
    <v>Map</v>
  </rv>
  <rv s="1">
    <fb>2364688</fb>
    <v>8</v>
  </rv>
  <rv s="1">
    <fb>2760084</fb>
    <v>8</v>
  </rv>
  <rv s="2">
    <v>3</v>
    <v>6</v>
    <v>25</v>
    <v>7</v>
    <v>0</v>
    <v>Image of Missouri</v>
  </rv>
  <rv s="0">
    <v>805306368</v>
    <v>Mike Kehoe (Governor)</v>
    <v>b2f50b37-ce14-c873-e2df-fd5943b7c015</v>
    <v>en-US</v>
    <v>Generic</v>
  </rv>
  <rv s="0">
    <v>805306368</v>
    <v>David Wasinger (Lieutenant governor)</v>
    <v>6010c711-8e35-e9ac-e4bc-03bd2b421f62</v>
    <v>en-US</v>
    <v>Generic</v>
  </rv>
  <rv s="0">
    <v>805306368</v>
    <v>Josh Hawley (Senate)</v>
    <v>0709c075-3a21-a282-0ce8-ebac38b987b2</v>
    <v>en-US</v>
    <v>Generic</v>
  </rv>
  <rv s="0">
    <v>805306368</v>
    <v>Eric Schmitt (Senate)</v>
    <v>caf9e43d-c854-9d49-f9db-caf2c6a3cf41</v>
    <v>en-US</v>
    <v>Generic</v>
  </rv>
  <rv s="5">
    <v>5</v>
  </rv>
  <rv s="3">
    <v>https://www.bing.com/search?q=missouri&amp;form=skydnc</v>
    <v>Learn more on Bing</v>
  </rv>
  <rv s="1">
    <fb>746</fb>
    <v>16</v>
  </rv>
  <rv s="1">
    <fb>48173</fb>
    <v>16</v>
  </rv>
  <rv s="1">
    <fb>138400</fb>
    <v>16</v>
  </rv>
  <rv s="1">
    <fb>2.48</fb>
    <v>17</v>
  </rv>
  <rv s="1">
    <fb>6245466</fb>
    <v>8</v>
  </rv>
  <rv s="1">
    <fb>1.7000000000000001E-2</fb>
    <v>18</v>
  </rv>
  <rv s="1">
    <fb>0.157</fb>
    <v>18</v>
  </rv>
  <rv s="1">
    <fb>6.0000000000000001E-3</fb>
    <v>19</v>
  </rv>
  <rv s="1">
    <fb>0.02</fb>
    <v>18</v>
  </rv>
  <rv s="1">
    <fb>0.27100000000000002</fb>
    <v>18</v>
  </rv>
  <rv s="1">
    <fb>0.11800000000000001</fb>
    <v>18</v>
  </rv>
  <rv s="1">
    <fb>3.9E-2</fb>
    <v>18</v>
  </rv>
  <rv s="1">
    <fb>0.88400000000000001</fb>
    <v>18</v>
  </rv>
  <rv s="1">
    <fb>4.0999999999999995E-2</fb>
    <v>18</v>
  </rv>
  <rv s="1">
    <fb>0.63200000000000001</fb>
    <v>18</v>
  </rv>
  <rv s="1">
    <fb>1E-3</fb>
    <v>18</v>
  </rv>
  <rv s="1">
    <fb>0.10400000000000001</fb>
    <v>18</v>
  </rv>
  <rv s="1">
    <fb>2.2000000000000002E-2</fb>
    <v>18</v>
  </rv>
  <rv s="1">
    <fb>0.22899999999999998</fb>
    <v>18</v>
  </rv>
  <rv s="1">
    <fb>0.83299999999999996</fb>
    <v>18</v>
  </rv>
  <rv s="6">
    <v>#VALUE!</v>
    <v>en-US</v>
    <v>6185f8cb-44e1-4da6-9bf0-b75286aeb591</v>
    <v>536870912</v>
    <v>1</v>
    <v>28</v>
    <v>14</v>
    <v>Missouri</v>
    <v>4</v>
    <v>5</v>
    <v>Map</v>
    <v>6</v>
    <v>15</v>
    <v>US-MO</v>
    <v>58</v>
    <v>59</v>
    <v>60</v>
    <v>10</v>
    <v>Missouri is a state in the Midwestern region of the United States. Ranking 21st in land area, it borders Iowa to the north, Illinois, Kentucky and Tennessee to the east, Arkansas to the south and Oklahoma, Kansas, and Nebraska to the west. In ...</v>
    <v>61</v>
    <v>62</v>
    <v>63</v>
    <v>44</v>
    <v>68</v>
    <v>69</v>
    <v>70</v>
    <v>71</v>
    <v>72</v>
    <v>Missouri</v>
    <v>23</v>
    <v>73</v>
    <v>74</v>
    <v>75</v>
    <v>76</v>
    <v>77</v>
    <v>78</v>
    <v>79</v>
    <v>80</v>
    <v>81</v>
    <v>82</v>
    <v>83</v>
    <v>84</v>
    <v>85</v>
    <v>86</v>
    <v>87</v>
    <v>88</v>
    <v>40</v>
    <v>89</v>
    <v>56</v>
    <v>Missouri</v>
    <v>mdp/vdpid/21512</v>
  </rv>
  <rv s="0">
    <v>536870912</v>
    <v>Oklahoma City</v>
    <v>59d212a0-2f5f-4681-a7a0-a8a6e25853e1</v>
    <v>en-US</v>
    <v>Map</v>
  </rv>
  <rv s="0">
    <v>536870912</v>
    <v>Oklahoma</v>
    <v>cbcf556f-952a-4665-bb95-0500b27f9976</v>
    <v>en-US</v>
    <v>Map</v>
  </rv>
  <rv s="0">
    <v>536870912</v>
    <v>Oklahoma County, Oklahoma</v>
    <v>35ee681e-da1a-0edf-31c9-f35417571e1a</v>
    <v>en-US</v>
    <v>Map</v>
  </rv>
  <rv s="1">
    <fb>1607.563128</fb>
    <v>8</v>
  </rv>
  <rv s="2">
    <v>4</v>
    <v>6</v>
    <v>29</v>
    <v>7</v>
    <v>0</v>
    <v>Image of Oklahoma City</v>
  </rv>
  <rv s="1">
    <fb>35.482222222222198</fb>
    <v>24</v>
  </rv>
  <rv s="0">
    <v>805306368</v>
    <v>David Holt (Mayor)</v>
    <v>99fb9c5b-324e-0fb6-de5e-745bfe94c02e</v>
    <v>en-US</v>
    <v>Generic</v>
  </rv>
  <rv s="5">
    <v>6</v>
  </rv>
  <rv s="3">
    <v>https://www.bing.com/search?q=oklahoma+city&amp;form=skydnc</v>
    <v>Learn more on Bing</v>
  </rv>
  <rv s="1">
    <fb>-97.535277777777793</fb>
    <v>24</v>
  </rv>
  <rv s="1">
    <fb>681054</fb>
    <v>8</v>
  </rv>
  <rv s="7">
    <v>#VALUE!</v>
    <v>en-US</v>
    <v>59d212a0-2f5f-4681-a7a0-a8a6e25853e1</v>
    <v>536870912</v>
    <v>1</v>
    <v>30</v>
    <v>22</v>
    <v>Oklahoma City</v>
    <v>4</v>
    <v>5</v>
    <v>Map</v>
    <v>6</v>
    <v>7</v>
    <v>92</v>
    <v>93</v>
    <v>94</v>
    <v>10</v>
    <v>Oklahoma City, officially the City of Oklahoma City, and often shortened to OKC, is the capital and most populous city of the U.S. state of Oklahoma. The county seat of Oklahoma County, its population ranks 20th among United States cities and ...</v>
    <v>95</v>
    <v>96</v>
    <v>98</v>
    <v>99</v>
    <v>100</v>
    <v>Oklahoma City</v>
    <v>101</v>
    <v>56</v>
    <v>Oklahoma City</v>
    <v>mdp/vdpid/5095385499342733313</v>
  </rv>
  <rv s="1">
    <fb>181195</fb>
    <v>8</v>
  </rv>
  <rv s="1">
    <fb>12092</fb>
    <v>8</v>
  </rv>
  <rv s="1">
    <fb>1455321</fb>
    <v>8</v>
  </rv>
  <rv s="1">
    <fb>1721045</fb>
    <v>8</v>
  </rv>
  <rv s="2">
    <v>5</v>
    <v>6</v>
    <v>31</v>
    <v>7</v>
    <v>0</v>
    <v>Image of Oklahoma</v>
  </rv>
  <rv s="0">
    <v>805306368</v>
    <v>Kevin Stitt (Governor)</v>
    <v>50460cc8-b10e-ddcd-8554-9a0e8a8aa526</v>
    <v>en-US</v>
    <v>Generic</v>
  </rv>
  <rv s="0">
    <v>805306368</v>
    <v>Matt Pinnell (Lieutenant governor)</v>
    <v>189caae5-49b2-e53b-db23-b10a7ec5d36b</v>
    <v>en-US</v>
    <v>Generic</v>
  </rv>
  <rv s="0">
    <v>805306368</v>
    <v>James Lankford (Senate)</v>
    <v>9bfa929f-1dbf-4884-2bbc-ecde4793ee48</v>
    <v>en-US</v>
    <v>Generic</v>
  </rv>
  <rv s="0">
    <v>805306368</v>
    <v>Markwayne Mullin (Senate)</v>
    <v>05fad978-d35b-4dc0-b57e-e3afb8372ed3</v>
    <v>en-US</v>
    <v>Generic</v>
  </rv>
  <rv s="5">
    <v>7</v>
  </rv>
  <rv s="3">
    <v>https://www.bing.com/search?q=oklahoma&amp;form=skydnc</v>
    <v>Learn more on Bing</v>
  </rv>
  <rv s="1">
    <fb>727</fb>
    <v>16</v>
  </rv>
  <rv s="1">
    <fb>46879</fb>
    <v>16</v>
  </rv>
  <rv s="1">
    <fb>117900</fb>
    <v>16</v>
  </rv>
  <rv s="5">
    <v>8</v>
  </rv>
  <rv s="1">
    <fb>2.57</fb>
    <v>17</v>
  </rv>
  <rv s="1">
    <fb>3959353</fb>
    <v>8</v>
  </rv>
  <rv s="1">
    <fb>4.5999999999999999E-2</fb>
    <v>18</v>
  </rv>
  <rv s="1">
    <fb>0.14699999999999999</fb>
    <v>18</v>
  </rv>
  <rv s="1">
    <fb>9.0999999999999998E-2</fb>
    <v>19</v>
  </rv>
  <rv s="1">
    <fb>0.24100000000000002</fb>
    <v>18</v>
  </rv>
  <rv s="1">
    <fb>7.8E-2</fb>
    <v>18</v>
  </rv>
  <rv s="1">
    <fb>5.7999999999999996E-2</fb>
    <v>18</v>
  </rv>
  <rv s="1">
    <fb>0.86900000000000011</fb>
    <v>18</v>
  </rv>
  <rv s="1">
    <fb>0.10099999999999999</fb>
    <v>18</v>
  </rv>
  <rv s="1">
    <fb>0.61099999999999999</fb>
    <v>18</v>
  </rv>
  <rv s="1">
    <fb>0.113</fb>
    <v>18</v>
  </rv>
  <rv s="1">
    <fb>0.06</fb>
    <v>18</v>
  </rv>
  <rv s="1">
    <fb>0.24600000000000002</fb>
    <v>18</v>
  </rv>
  <rv s="1">
    <fb>6.9000000000000006E-2</fb>
    <v>18</v>
  </rv>
  <rv s="1">
    <fb>0.748</fb>
    <v>18</v>
  </rv>
  <rv s="8">
    <v>#VALUE!</v>
    <v>en-US</v>
    <v>cbcf556f-952a-4665-bb95-0500b27f9976</v>
    <v>536870912</v>
    <v>1</v>
    <v>34</v>
    <v>35</v>
    <v>Oklahoma</v>
    <v>4</v>
    <v>5</v>
    <v>Map</v>
    <v>6</v>
    <v>36</v>
    <v>US-OK</v>
    <v>103</v>
    <v>104</v>
    <v>91</v>
    <v>3</v>
    <v>Oklahoma is a state in the South Central region of the United States. It borders Texas to the south and west, Kansas to the north, Missouri to the northeast, Arkansas to the east, New Mexico to the west, and Colorado to the northwest. Partially ...</v>
    <v>105</v>
    <v>106</v>
    <v>107</v>
    <v>91</v>
    <v>112</v>
    <v>113</v>
    <v>114</v>
    <v>115</v>
    <v>116</v>
    <v>Oklahoma</v>
    <v>117</v>
    <v>118</v>
    <v>119</v>
    <v>120</v>
    <v>121</v>
    <v>122</v>
    <v>87</v>
    <v>123</v>
    <v>124</v>
    <v>125</v>
    <v>126</v>
    <v>127</v>
    <v>128</v>
    <v>36</v>
    <v>129</v>
    <v>130</v>
    <v>131</v>
    <v>132</v>
    <v>133</v>
    <v>Oklahoma</v>
    <v>mdp/vdpid/24293</v>
  </rv>
  <rv s="0">
    <v>536870912</v>
    <v>Phoenix, Arizona</v>
    <v>b06044c3-41e1-4e2a-bba7-27a29bba8ea9</v>
    <v>en-US</v>
    <v>Map</v>
  </rv>
  <rv s="0">
    <v>536870912</v>
    <v>Arizona</v>
    <v>bf973f46-5962-4997-a7ba-a05f1aa2a9f9</v>
    <v>en-US</v>
    <v>Map</v>
  </rv>
  <rv s="0">
    <v>536870912</v>
    <v>Maricopa County</v>
    <v>385e4056-0008-58a2-b460-55f838262318</v>
    <v>en-US</v>
    <v>Map</v>
  </rv>
  <rv s="1">
    <fb>1341.477468</fb>
    <v>8</v>
  </rv>
  <rv s="2">
    <v>6</v>
    <v>6</v>
    <v>37</v>
    <v>7</v>
    <v>0</v>
    <v>Image of Phoenix, Arizona</v>
  </rv>
  <rv s="1">
    <fb>33.448333333333302</fb>
    <v>24</v>
  </rv>
  <rv s="0">
    <v>805306368</v>
    <v>Kate Gallego (Mayor)</v>
    <v>e1eda65c-e97b-f7be-0eba-2d9b94ca006c</v>
    <v>en-US</v>
    <v>Generic</v>
  </rv>
  <rv s="5">
    <v>9</v>
  </rv>
  <rv s="3">
    <v>https://www.bing.com/search?q=phoenix+arizona&amp;form=skydnc</v>
    <v>Learn more on Bing</v>
  </rv>
  <rv s="1">
    <fb>-112.073888888889</fb>
    <v>24</v>
  </rv>
  <rv s="1">
    <fb>1608139</fb>
    <v>8</v>
  </rv>
  <rv s="5">
    <v>10</v>
  </rv>
  <rv s="7">
    <v>#VALUE!</v>
    <v>en-US</v>
    <v>b06044c3-41e1-4e2a-bba7-27a29bba8ea9</v>
    <v>536870912</v>
    <v>1</v>
    <v>38</v>
    <v>22</v>
    <v>Phoenix, Arizona</v>
    <v>4</v>
    <v>5</v>
    <v>Map</v>
    <v>6</v>
    <v>7</v>
    <v>136</v>
    <v>137</v>
    <v>138</v>
    <v>3</v>
    <v>Phoenix is the capital and most populous city of the U.S. state of Arizona, with 1,608,139 residents as of 2020. It is the fifth-most populous city in the United States and the most populous state capital in the country.</v>
    <v>139</v>
    <v>140</v>
    <v>142</v>
    <v>143</v>
    <v>144</v>
    <v>Phoenix, Arizona</v>
    <v>145</v>
    <v>146</v>
    <v>Phoenix, Arizona</v>
    <v>mdp/vdpid/5098089334867755012</v>
  </rv>
  <rv s="1">
    <fb>295234</fb>
    <v>8</v>
  </rv>
  <rv s="1">
    <fb>35578</fb>
    <v>8</v>
  </rv>
  <rv s="1">
    <fb>2412212</fb>
    <v>8</v>
  </rv>
  <rv s="1">
    <fb>2961003</fb>
    <v>8</v>
  </rv>
  <rv s="2">
    <v>7</v>
    <v>6</v>
    <v>39</v>
    <v>7</v>
    <v>0</v>
    <v>Image of Arizona</v>
  </rv>
  <rv s="0">
    <v>805306368</v>
    <v>Katie Hobbs (Governor)</v>
    <v>05adb62e-e735-4e07-b8db-01b500d8f313</v>
    <v>en-US</v>
    <v>Generic</v>
  </rv>
  <rv s="0">
    <v>805306368</v>
    <v>Adrian Fontes (Secretary of state)</v>
    <v>0c546f0f-c55b-c9c4-74cd-81b6c0d421d9</v>
    <v>en-US</v>
    <v>Generic</v>
  </rv>
  <rv s="0">
    <v>805306368</v>
    <v>Mark Kelly (Senate)</v>
    <v>7378c94d-66d6-3a6c-42fd-639c9bfc1491</v>
    <v>en-US</v>
    <v>Generic</v>
  </rv>
  <rv s="0">
    <v>805306368</v>
    <v>Ruben Gallego (Senate)</v>
    <v>9072078c-6591-4962-bbfd-eeadf6fa0184</v>
    <v>en-US</v>
    <v>Generic</v>
  </rv>
  <rv s="5">
    <v>11</v>
  </rv>
  <rv s="3">
    <v>https://www.bing.com/search?q=arizona&amp;form=skydnc</v>
    <v>Learn more on Bing</v>
  </rv>
  <rv s="1">
    <fb>913</fb>
    <v>16</v>
  </rv>
  <rv s="1">
    <fb>50255</fb>
    <v>16</v>
  </rv>
  <rv s="1">
    <fb>167500</fb>
    <v>16</v>
  </rv>
  <rv s="1">
    <fb>2.69</fb>
    <v>17</v>
  </rv>
  <rv s="1">
    <fb>7582384</fb>
    <v>8</v>
  </rv>
  <rv s="1">
    <fb>8.4000000000000005E-2</fb>
    <v>18</v>
  </rv>
  <rv s="1">
    <fb>0.16399999999999998</fb>
    <v>18</v>
  </rv>
  <rv s="1">
    <fb>5.2999999999999999E-2</fb>
    <v>19</v>
  </rv>
  <rv s="1">
    <fb>3.4000000000000002E-2</fb>
    <v>18</v>
  </rv>
  <rv s="1">
    <fb>0.27500000000000002</fb>
    <v>18</v>
  </rv>
  <rv s="1">
    <fb>4.8000000000000001E-2</fb>
    <v>18</v>
  </rv>
  <rv s="1">
    <fb>0.13500000000000001</fb>
    <v>18</v>
  </rv>
  <rv s="1">
    <fb>0.86</fb>
    <v>18</v>
  </rv>
  <rv s="1">
    <fb>0.307</fb>
    <v>18</v>
  </rv>
  <rv s="1">
    <fb>0.59299999999999997</fb>
    <v>18</v>
  </rv>
  <rv s="1">
    <fb>3.0000000000000001E-3</fb>
    <v>18</v>
  </rv>
  <rv s="1">
    <fb>8.199999999999999E-2</fb>
    <v>18</v>
  </rv>
  <rv s="1">
    <fb>2.7000000000000003E-2</fb>
    <v>18</v>
  </rv>
  <rv s="1">
    <fb>0.23800000000000002</fb>
    <v>18</v>
  </rv>
  <rv s="1">
    <fb>6.3E-2</fb>
    <v>18</v>
  </rv>
  <rv s="1">
    <fb>0.83499999999999996</fb>
    <v>18</v>
  </rv>
  <rv s="6">
    <v>#VALUE!</v>
    <v>en-US</v>
    <v>bf973f46-5962-4997-a7ba-a05f1aa2a9f9</v>
    <v>536870912</v>
    <v>1</v>
    <v>42</v>
    <v>14</v>
    <v>Arizona</v>
    <v>4</v>
    <v>5</v>
    <v>Map</v>
    <v>6</v>
    <v>15</v>
    <v>US-AZ</v>
    <v>148</v>
    <v>149</v>
    <v>135</v>
    <v>10</v>
    <v>Arizona is a state in the Southwestern region of the United States, sharing the Four Corners region of the western United States with Colorado, New Mexico, and Utah. It also borders Nevada to the northwest and California to the west, and shares ...</v>
    <v>150</v>
    <v>151</v>
    <v>152</v>
    <v>135</v>
    <v>157</v>
    <v>158</v>
    <v>159</v>
    <v>160</v>
    <v>161</v>
    <v>Arizona</v>
    <v>23</v>
    <v>162</v>
    <v>163</v>
    <v>164</v>
    <v>165</v>
    <v>166</v>
    <v>167</v>
    <v>168</v>
    <v>169</v>
    <v>170</v>
    <v>171</v>
    <v>172</v>
    <v>173</v>
    <v>174</v>
    <v>175</v>
    <v>176</v>
    <v>177</v>
    <v>178</v>
    <v>179</v>
    <v>146</v>
    <v>Arizona</v>
    <v>mdp/vdpid/1945</v>
  </rv>
  <rv s="0">
    <v>536870912</v>
    <v>Salt Lake City</v>
    <v>520b8048-39fe-4c55-8cbf-a52f9d8756fd</v>
    <v>en-US</v>
    <v>Map</v>
  </rv>
  <rv s="0">
    <v>536870912</v>
    <v>Utah</v>
    <v>c6705e44-d27f-4240-95a2-54e802e3b524</v>
    <v>en-US</v>
    <v>Map</v>
  </rv>
  <rv s="0">
    <v>536870912</v>
    <v>Salt Lake County, Utah</v>
    <v>4de16a24-172b-170c-1217-486126e2ddd9</v>
    <v>en-US</v>
    <v>Map</v>
  </rv>
  <rv s="1">
    <fb>289.26125100000002</fb>
    <v>8</v>
  </rv>
  <rv s="2">
    <v>8</v>
    <v>6</v>
    <v>43</v>
    <v>7</v>
    <v>0</v>
    <v>Image of Salt Lake City</v>
  </rv>
  <rv s="1">
    <fb>40.75</fb>
    <v>24</v>
  </rv>
  <rv s="0">
    <v>805306368</v>
    <v>Erin Mendenhall (Mayor)</v>
    <v>da12fad7-cac7-65a3-e660-2e8f6a82b91e</v>
    <v>en-US</v>
    <v>Generic</v>
  </rv>
  <rv s="5">
    <v>12</v>
  </rv>
  <rv s="3">
    <v>https://www.bing.com/search?q=salt+lake+city+utah&amp;form=skydnc</v>
    <v>Learn more on Bing</v>
  </rv>
  <rv s="1">
    <fb>-111.88333333333</fb>
    <v>24</v>
  </rv>
  <rv s="1">
    <fb>209593</fb>
    <v>8</v>
  </rv>
  <rv s="7">
    <v>#VALUE!</v>
    <v>en-US</v>
    <v>520b8048-39fe-4c55-8cbf-a52f9d8756fd</v>
    <v>536870912</v>
    <v>1</v>
    <v>44</v>
    <v>22</v>
    <v>Salt Lake City</v>
    <v>4</v>
    <v>5</v>
    <v>Map</v>
    <v>6</v>
    <v>23</v>
    <v>182</v>
    <v>183</v>
    <v>184</v>
    <v>10</v>
    <v>Salt Lake City, often shortened to Salt Lake or SLC, is the capital and most populous city of the U.S. state of Utah. It is the county seat of Salt Lake County, the most populous county in the state. The city is the core of the Salt Lake City ...</v>
    <v>185</v>
    <v>186</v>
    <v>188</v>
    <v>189</v>
    <v>190</v>
    <v>Salt Lake City</v>
    <v>191</v>
    <v>146</v>
    <v>Salt Lake City</v>
    <v>mdp/vdpid/5081478942645288961</v>
  </rv>
  <rv s="1">
    <fb>219653</fb>
    <v>8</v>
  </rv>
  <rv s="1">
    <fb>22662</fb>
    <v>8</v>
  </rv>
  <rv s="1">
    <fb>906292</fb>
    <v>8</v>
  </rv>
  <rv s="1">
    <fb>1054164</fb>
    <v>8</v>
  </rv>
  <rv s="2">
    <v>9</v>
    <v>6</v>
    <v>45</v>
    <v>7</v>
    <v>0</v>
    <v>Image of Utah</v>
  </rv>
  <rv s="0">
    <v>805306368</v>
    <v>Spencer Cox (Governor)</v>
    <v>b8df5066-fb62-3092-d3d5-fa1d766c0409</v>
    <v>en-US</v>
    <v>Generic</v>
  </rv>
  <rv s="0">
    <v>805306368</v>
    <v>Deidre Henderson (Lieutenant governor)</v>
    <v>644c1a0f-9cad-8cd7-ecd2-aa31b63f12c0</v>
    <v>en-US</v>
    <v>Generic</v>
  </rv>
  <rv s="0">
    <v>805306368</v>
    <v>Mike Lee (Senate)</v>
    <v>f5c85f74-0fbe-5ce1-327f-195c4ef26152</v>
    <v>en-US</v>
    <v>Generic</v>
  </rv>
  <rv s="0">
    <v>805306368</v>
    <v>John Curtis (Senate)</v>
    <v>9fcdc54d-156a-8cde-8ee6-0614a68038b7</v>
    <v>en-US</v>
    <v>Generic</v>
  </rv>
  <rv s="5">
    <v>13</v>
  </rv>
  <rv s="3">
    <v>https://www.bing.com/search?q=utah&amp;form=skydnc</v>
    <v>Learn more on Bing</v>
  </rv>
  <rv s="1">
    <fb>887</fb>
    <v>16</v>
  </rv>
  <rv s="1">
    <fb>60727</fb>
    <v>16</v>
  </rv>
  <rv s="1">
    <fb>215900</fb>
    <v>16</v>
  </rv>
  <rv s="1">
    <fb>3.15</fb>
    <v>17</v>
  </rv>
  <rv s="1">
    <fb>3503613</fb>
    <v>8</v>
  </rv>
  <rv s="1">
    <fb>0.10300000000000001</fb>
    <v>18</v>
  </rv>
  <rv s="1">
    <fb>1.4999999999999999E-2</fb>
    <v>19</v>
  </rv>
  <rv s="1">
    <fb>2.5000000000000001E-2</fb>
    <v>18</v>
  </rv>
  <rv s="1">
    <fb>0.311</fb>
    <v>18</v>
  </rv>
  <rv s="1">
    <fb>1.3000000000000001E-2</fb>
    <v>18</v>
  </rv>
  <rv s="1">
    <fb>0.91200000000000003</fb>
    <v>18</v>
  </rv>
  <rv s="1">
    <fb>0.13699999999999998</fb>
    <v>18</v>
  </rv>
  <rv s="1">
    <fb>0.67700000000000005</fb>
    <v>18</v>
  </rv>
  <rv s="1">
    <fb>0.01</fb>
    <v>18</v>
  </rv>
  <rv s="1">
    <fb>6.6000000000000003E-2</fb>
    <v>18</v>
  </rv>
  <rv s="1">
    <fb>2.4E-2</fb>
    <v>18</v>
  </rv>
  <rv s="1">
    <fb>0.30499999999999999</fb>
    <v>18</v>
  </rv>
  <rv s="6">
    <v>#VALUE!</v>
    <v>en-US</v>
    <v>c6705e44-d27f-4240-95a2-54e802e3b524</v>
    <v>536870912</v>
    <v>1</v>
    <v>48</v>
    <v>14</v>
    <v>Utah</v>
    <v>4</v>
    <v>5</v>
    <v>Map</v>
    <v>6</v>
    <v>15</v>
    <v>US-UT</v>
    <v>193</v>
    <v>194</v>
    <v>181</v>
    <v>10</v>
    <v>Utah is a state in the western United States. It is one of the Mountain States, sharing the Four Corners region with Arizona, Colorado, and New Mexico. It also borders Wyoming to the northeast, Idaho to the north, and Nevada to the west. In ...</v>
    <v>195</v>
    <v>196</v>
    <v>197</v>
    <v>181</v>
    <v>202</v>
    <v>203</v>
    <v>204</v>
    <v>205</v>
    <v>206</v>
    <v>Utah</v>
    <v>23</v>
    <v>207</v>
    <v>208</v>
    <v>86</v>
    <v>209</v>
    <v>210</v>
    <v>211</v>
    <v>212</v>
    <v>213</v>
    <v>164</v>
    <v>214</v>
    <v>215</v>
    <v>216</v>
    <v>217</v>
    <v>218</v>
    <v>219</v>
    <v>220</v>
    <v>164</v>
    <v>214</v>
    <v>146</v>
    <v>Utah</v>
    <v>mdp/vdpid/34626</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UniqueName" t="s"/>
    <k n="VDPID/VSID"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rvStructures>
</file>

<file path=xl/richData/rdsupportingpropertybag.xml><?xml version="1.0" encoding="utf-8"?>
<supportingPropertyBags xmlns="http://schemas.microsoft.com/office/spreadsheetml/2017/richdata2">
  <spbArrays count="4">
    <a count="22">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spbArrays>
  <spbData count="49">
    <spb s="0">
      <v xml:space="preserve">Wikipedia	</v>
      <v xml:space="preserve">CC BY-SA 3.0	</v>
      <v xml:space="preserve">https://en.wikipedia.org/wiki/Denver	</v>
      <v xml:space="preserve">https://creativecommons.org/licenses/by-sa/3.0	</v>
    </spb>
    <spb s="1">
      <v>0</v>
      <v>0</v>
      <v>0</v>
      <v>0</v>
      <v>0</v>
      <v>0</v>
      <v>0</v>
    </spb>
    <spb s="2">
      <v>0</v>
      <v>Name</v>
      <v>LearnMoreOnLink</v>
    </spb>
    <spb s="3">
      <v>0</v>
      <v>0</v>
      <v>0</v>
    </spb>
    <spb s="4">
      <v>3</v>
      <v>3</v>
      <v>3</v>
    </spb>
    <spb s="5">
      <v>1</v>
      <v>2</v>
    </spb>
    <spb s="6">
      <v>https://www.bing.com</v>
      <v>https://www.bing.com/th?id=Ga%5Cbing_yt.png&amp;w=100&amp;h=40&amp;c=0&amp;pid=0.1</v>
      <v>Powered by Bing</v>
    </spb>
    <spb s="7">
      <v>square km</v>
      <v>2020</v>
    </spb>
    <spb s="8">
      <v>3</v>
    </spb>
    <spb s="0">
      <v xml:space="preserve">Wikipedia	</v>
      <v xml:space="preserve">CC BY-SA 3.0	</v>
      <v xml:space="preserve">https://en.wikipedia.org/wiki/Colorado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9">
      <v>9</v>
      <v>9</v>
      <v>10</v>
      <v>9</v>
      <v>9</v>
      <v>9</v>
      <v>11</v>
      <v>9</v>
      <v>10</v>
      <v>9</v>
      <v>10</v>
      <v>12</v>
      <v>9</v>
      <v>10</v>
      <v>10</v>
      <v>10</v>
      <v>10</v>
      <v>12</v>
      <v>10</v>
      <v>10</v>
      <v>10</v>
      <v>10</v>
      <v>10</v>
      <v>10</v>
      <v>10</v>
      <v>10</v>
      <v>10</v>
      <v>12</v>
      <v>10</v>
      <v>10</v>
      <v>10</v>
      <v>10</v>
    </spb>
    <spb s="2">
      <v>1</v>
      <v>Name</v>
      <v>LearnMoreOnLink</v>
    </spb>
    <spb s="10">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4</v>
    </spb>
    <spb s="8">
      <v>5</v>
    </spb>
    <spb s="8">
      <v>6</v>
    </spb>
    <spb s="8">
      <v>7</v>
    </spb>
    <spb s="0">
      <v xml:space="preserve">Wikipedia	</v>
      <v xml:space="preserve">CC BY-SA 3.0	</v>
      <v xml:space="preserve">https://en.wikipedia.org/wiki/Kansas_City,_Missouri	</v>
      <v xml:space="preserve">https://creativecommons.org/licenses/by-sa/3.0	</v>
    </spb>
    <spb s="11">
      <v>20</v>
      <v>20</v>
      <v>20</v>
      <v>20</v>
      <v>20</v>
      <v>20</v>
      <v>20</v>
      <v>20</v>
      <v>20</v>
      <v>20</v>
    </spb>
    <spb s="2">
      <v>2</v>
      <v>Name</v>
      <v>LearnMoreOnLink</v>
    </spb>
    <spb s="7">
      <v>square km</v>
      <v>2023</v>
    </spb>
    <spb s="8">
      <v>8</v>
    </spb>
    <spb s="0">
      <v xml:space="preserve">Wikipedia	</v>
      <v xml:space="preserve">CC BY-SA 3.0	</v>
      <v xml:space="preserve">https://en.wikipedia.org/wiki/Missouri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9">
      <v>25</v>
      <v>25</v>
      <v>10</v>
      <v>25</v>
      <v>25</v>
      <v>25</v>
      <v>26</v>
      <v>25</v>
      <v>10</v>
      <v>25</v>
      <v>10</v>
      <v>27</v>
      <v>25</v>
      <v>10</v>
      <v>10</v>
      <v>10</v>
      <v>10</v>
      <v>27</v>
      <v>10</v>
      <v>10</v>
      <v>10</v>
      <v>10</v>
      <v>10</v>
      <v>10</v>
      <v>10</v>
      <v>10</v>
      <v>10</v>
      <v>27</v>
      <v>10</v>
      <v>10</v>
      <v>10</v>
      <v>10</v>
    </spb>
    <spb s="0">
      <v xml:space="preserve">Wikipedia	</v>
      <v xml:space="preserve">CC BY-SA 3.0	</v>
      <v xml:space="preserve">https://en.wikipedia.org/wiki/Oklahoma_City	</v>
      <v xml:space="preserve">https://creativecommons.org/licenses/by-sa/3.0	</v>
    </spb>
    <spb s="11">
      <v>29</v>
      <v>29</v>
      <v>29</v>
      <v>29</v>
      <v>29</v>
      <v>29</v>
      <v>29</v>
      <v>29</v>
      <v>29</v>
      <v>29</v>
    </spb>
    <spb s="0">
      <v xml:space="preserve">Wikipedia	</v>
      <v xml:space="preserve">CC BY-SA 3.0	</v>
      <v xml:space="preserve">https://en.wikipedia.org/wiki/Oklahoma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9">
      <v>31</v>
      <v>31</v>
      <v>10</v>
      <v>31</v>
      <v>31</v>
      <v>31</v>
      <v>32</v>
      <v>31</v>
      <v>10</v>
      <v>31</v>
      <v>10</v>
      <v>33</v>
      <v>31</v>
      <v>10</v>
      <v>10</v>
      <v>10</v>
      <v>10</v>
      <v>33</v>
      <v>10</v>
      <v>10</v>
      <v>10</v>
      <v>10</v>
      <v>10</v>
      <v>10</v>
      <v>10</v>
      <v>10</v>
      <v>10</v>
      <v>33</v>
      <v>10</v>
      <v>10</v>
      <v>10</v>
      <v>10</v>
    </spb>
    <spb s="2">
      <v>3</v>
      <v>Name</v>
      <v>LearnMoreOnLink</v>
    </spb>
    <spb s="10">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https://en.wikipedia.org/wiki/Phoenix,_Arizona	</v>
      <v xml:space="preserve">https://creativecommons.org/licenses/by-sa/3.0	</v>
    </spb>
    <spb s="11">
      <v>37</v>
      <v>37</v>
      <v>37</v>
      <v>37</v>
      <v>37</v>
      <v>37</v>
      <v>37</v>
      <v>37</v>
      <v>37</v>
      <v>37</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9">
      <v>39</v>
      <v>39</v>
      <v>10</v>
      <v>39</v>
      <v>39</v>
      <v>39</v>
      <v>40</v>
      <v>39</v>
      <v>10</v>
      <v>39</v>
      <v>10</v>
      <v>41</v>
      <v>39</v>
      <v>10</v>
      <v>10</v>
      <v>10</v>
      <v>10</v>
      <v>41</v>
      <v>10</v>
      <v>10</v>
      <v>10</v>
      <v>10</v>
      <v>10</v>
      <v>10</v>
      <v>10</v>
      <v>10</v>
      <v>10</v>
      <v>41</v>
      <v>10</v>
      <v>10</v>
      <v>10</v>
      <v>10</v>
    </spb>
    <spb s="0">
      <v xml:space="preserve">Wikipedia	</v>
      <v xml:space="preserve">CC BY-SA 3.0	</v>
      <v xml:space="preserve">https://en.wikipedia.org/wiki/Salt_Lake_City	</v>
      <v xml:space="preserve">https://creativecommons.org/licenses/by-sa/3.0	</v>
    </spb>
    <spb s="11">
      <v>43</v>
      <v>43</v>
      <v>43</v>
      <v>43</v>
      <v>43</v>
      <v>43</v>
      <v>43</v>
      <v>43</v>
      <v>43</v>
      <v>43</v>
    </spb>
    <spb s="0">
      <v xml:space="preserve">Wikipedia	</v>
      <v xml:space="preserve">CC BY-SA 3.0	</v>
      <v xml:space="preserve">https://en.wikipedia.org/wiki/Utah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9">
      <v>45</v>
      <v>45</v>
      <v>10</v>
      <v>45</v>
      <v>45</v>
      <v>45</v>
      <v>46</v>
      <v>45</v>
      <v>10</v>
      <v>45</v>
      <v>10</v>
      <v>47</v>
      <v>45</v>
      <v>10</v>
      <v>10</v>
      <v>10</v>
      <v>10</v>
      <v>47</v>
      <v>10</v>
      <v>10</v>
      <v>10</v>
      <v>10</v>
      <v>10</v>
      <v>10</v>
      <v>10</v>
      <v>10</v>
      <v>10</v>
      <v>47</v>
      <v>10</v>
      <v>10</v>
      <v>10</v>
      <v>10</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Area" t="spb"/>
    <k n="Name" t="spb"/>
    <k n="Population" t="spb"/>
    <k n="UniqueName" t="spb"/>
    <k n="Description" t="spb"/>
    <k n="Country/region" t="spb"/>
    <k n="Admin Division 1 (State/province/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Area" t="spb"/>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14" formatCode="0.00%"/>
    </x:dxf>
    <x:dxf>
      <x:numFmt numFmtId="2" formatCode="0.00"/>
    </x:dxf>
    <x:dxf>
      <x:numFmt numFmtId="13" formatCode="0%"/>
    </x:dxf>
  </dxfs>
  <richProperties>
    <rPr n="IsTitleField" t="b"/>
    <rPr n="IsHeroField" t="b"/>
    <rPr n="NumberFormat" t="s"/>
  </richProperties>
  <richStyles>
    <rSty>
      <rpv i="0">1</rpv>
    </rSty>
    <rSty>
      <rpv i="1">1</rpv>
    </rSty>
    <rSty dxfid="0">
      <rpv i="2">#,##0</rpv>
    </rSty>
    <rSty dxfid="1">
      <rpv i="2">_([$$-en-US]* #,##0_);_([$$-en-US]* (#,##0);_([$$-en-US]* "-"_);_(@_)</rpv>
    </rSty>
    <rSty dxfid="3">
      <rpv i="2">0.00</rpv>
    </rSty>
    <rSty dxfid="2">
      <rpv i="2">0.0%</rpv>
    </rSty>
    <rSty dxfid="4"/>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0070C0"/>
    <pageSetUpPr fitToPage="1"/>
  </sheetPr>
  <dimension ref="A1:E30"/>
  <sheetViews>
    <sheetView workbookViewId="0">
      <pane ySplit="3610"/>
      <selection activeCell="E4" sqref="E4"/>
      <selection pane="bottomLeft" activeCell="E12" sqref="E12"/>
    </sheetView>
  </sheetViews>
  <sheetFormatPr defaultColWidth="9.140625" defaultRowHeight="15" customHeight="1" x14ac:dyDescent="0.25"/>
  <cols>
    <col min="1" max="1" width="21.5703125" style="2" customWidth="1"/>
    <col min="2" max="4" width="14.140625" style="2" customWidth="1"/>
    <col min="5" max="5" width="15.140625" style="2" customWidth="1"/>
    <col min="6" max="7" width="9.140625" style="2"/>
    <col min="8" max="8" width="10.140625" style="2" bestFit="1" customWidth="1"/>
    <col min="9" max="16384" width="9.140625" style="2"/>
  </cols>
  <sheetData>
    <row r="1" spans="1:5" ht="18" customHeight="1" x14ac:dyDescent="0.3">
      <c r="A1" s="1" t="s">
        <v>26</v>
      </c>
      <c r="B1" s="1"/>
      <c r="C1" s="1"/>
      <c r="D1" s="1"/>
      <c r="E1" s="1"/>
    </row>
    <row r="3" spans="1:5" ht="15" customHeight="1" x14ac:dyDescent="0.25">
      <c r="A3" s="15" t="s">
        <v>25</v>
      </c>
      <c r="B3" s="38" t="s">
        <v>0</v>
      </c>
      <c r="C3" s="38" t="s">
        <v>1</v>
      </c>
      <c r="D3" s="38" t="s">
        <v>2</v>
      </c>
      <c r="E3" s="16" t="s">
        <v>27</v>
      </c>
    </row>
    <row r="4" spans="1:5" ht="15" customHeight="1" x14ac:dyDescent="0.25">
      <c r="A4" s="10" t="s">
        <v>21</v>
      </c>
      <c r="B4" s="39">
        <v>4250.72</v>
      </c>
      <c r="C4" s="39">
        <v>3359.44</v>
      </c>
      <c r="D4" s="39">
        <v>4250.72</v>
      </c>
      <c r="E4" s="9">
        <f>SUM(B4:D4)</f>
        <v>11860.880000000001</v>
      </c>
    </row>
    <row r="5" spans="1:5" ht="15" customHeight="1" x14ac:dyDescent="0.25">
      <c r="A5" s="10" t="s">
        <v>19</v>
      </c>
      <c r="B5" s="40">
        <v>6907.42</v>
      </c>
      <c r="C5" s="40">
        <v>6238.96</v>
      </c>
      <c r="D5" s="40">
        <v>6376.08</v>
      </c>
      <c r="E5" s="18">
        <f>SUM(B5:D5)</f>
        <v>19522.46</v>
      </c>
    </row>
    <row r="6" spans="1:5" ht="15" customHeight="1" x14ac:dyDescent="0.25">
      <c r="A6" s="10" t="s">
        <v>18</v>
      </c>
      <c r="B6" s="40">
        <v>7673.119999999999</v>
      </c>
      <c r="C6" s="40">
        <v>6435.52</v>
      </c>
      <c r="D6" s="40">
        <v>7673.119999999999</v>
      </c>
      <c r="E6" s="18">
        <f>SUM(B6:D6)</f>
        <v>21781.759999999998</v>
      </c>
    </row>
    <row r="7" spans="1:5" ht="15" customHeight="1" x14ac:dyDescent="0.25">
      <c r="A7" s="10" t="s">
        <v>20</v>
      </c>
      <c r="B7" s="40">
        <v>14604.88</v>
      </c>
      <c r="C7" s="40">
        <v>12663.84</v>
      </c>
      <c r="D7" s="40">
        <v>15189.07</v>
      </c>
      <c r="E7" s="18">
        <f>SUM(B7:D7)</f>
        <v>42457.79</v>
      </c>
    </row>
    <row r="8" spans="1:5" ht="15" customHeight="1" x14ac:dyDescent="0.25">
      <c r="A8" s="10" t="s">
        <v>22</v>
      </c>
      <c r="B8" s="40">
        <v>28095.300000000003</v>
      </c>
      <c r="C8" s="40">
        <v>25376.400000000001</v>
      </c>
      <c r="D8" s="40">
        <v>26222.28</v>
      </c>
      <c r="E8" s="18">
        <f>SUM(B8:D8)</f>
        <v>79693.98000000001</v>
      </c>
    </row>
    <row r="9" spans="1:5" ht="15" customHeight="1" x14ac:dyDescent="0.25">
      <c r="A9" s="10" t="s">
        <v>23</v>
      </c>
      <c r="B9" s="40">
        <v>20735.13</v>
      </c>
      <c r="C9" s="40">
        <v>16481.080000000002</v>
      </c>
      <c r="D9" s="40">
        <v>19905.72</v>
      </c>
      <c r="E9" s="18">
        <f>SUM(B9:D9)</f>
        <v>57121.930000000008</v>
      </c>
    </row>
    <row r="10" spans="1:5" ht="15" customHeight="1" x14ac:dyDescent="0.25">
      <c r="A10" s="10" t="s">
        <v>24</v>
      </c>
      <c r="B10" s="40">
        <v>1795.2099999999998</v>
      </c>
      <c r="C10" s="40">
        <v>3242.96</v>
      </c>
      <c r="D10" s="40">
        <v>2692.82</v>
      </c>
      <c r="E10" s="18">
        <f>SUM(B10:D10)</f>
        <v>7730.99</v>
      </c>
    </row>
    <row r="11" spans="1:5" ht="15" customHeight="1" thickBot="1" x14ac:dyDescent="0.3">
      <c r="A11" s="20" t="s">
        <v>17</v>
      </c>
      <c r="B11" s="34">
        <f>SUM(B4:B10)</f>
        <v>84061.780000000013</v>
      </c>
      <c r="C11" s="34">
        <f>SUM(C4:C10)</f>
        <v>73798.200000000012</v>
      </c>
      <c r="D11" s="34">
        <f>SUM(D4:D10)</f>
        <v>82309.81</v>
      </c>
      <c r="E11" s="34">
        <f>SUM(B11:D11)</f>
        <v>240169.79000000004</v>
      </c>
    </row>
    <row r="12" spans="1:5" ht="15" customHeight="1" thickTop="1" x14ac:dyDescent="0.25"/>
    <row r="13" spans="1:5" ht="15" customHeight="1" x14ac:dyDescent="0.25">
      <c r="A13" s="15" t="s">
        <v>36</v>
      </c>
    </row>
    <row r="14" spans="1:5" ht="15" customHeight="1" x14ac:dyDescent="0.25">
      <c r="A14" s="10" t="s">
        <v>35</v>
      </c>
      <c r="B14" s="21">
        <v>4250.72</v>
      </c>
      <c r="C14" s="21">
        <v>4799.2</v>
      </c>
      <c r="D14" s="21">
        <v>4250.72</v>
      </c>
    </row>
    <row r="15" spans="1:5" ht="15" customHeight="1" x14ac:dyDescent="0.25">
      <c r="A15" s="10" t="s">
        <v>20</v>
      </c>
      <c r="B15" s="22">
        <v>8501.44</v>
      </c>
      <c r="C15" s="22">
        <v>9598.4</v>
      </c>
      <c r="D15" s="22">
        <v>9564.119999999999</v>
      </c>
    </row>
    <row r="16" spans="1:5" ht="15" customHeight="1" x14ac:dyDescent="0.25">
      <c r="A16" s="20" t="s">
        <v>37</v>
      </c>
      <c r="B16" s="23">
        <f>B14+B15</f>
        <v>12752.16</v>
      </c>
      <c r="C16" s="23">
        <f t="shared" ref="C16:D16" si="0">C14+C15</f>
        <v>14397.599999999999</v>
      </c>
      <c r="D16" s="23">
        <f t="shared" si="0"/>
        <v>13814.84</v>
      </c>
    </row>
    <row r="17" spans="1:4" ht="15" customHeight="1" x14ac:dyDescent="0.25">
      <c r="A17" s="10"/>
    </row>
    <row r="18" spans="1:4" ht="15" customHeight="1" x14ac:dyDescent="0.25">
      <c r="A18" s="15" t="s">
        <v>33</v>
      </c>
    </row>
    <row r="19" spans="1:4" ht="15" customHeight="1" x14ac:dyDescent="0.25">
      <c r="A19" s="10" t="s">
        <v>35</v>
      </c>
      <c r="B19" s="21">
        <v>9989.44</v>
      </c>
      <c r="C19" s="21">
        <v>10150.56</v>
      </c>
      <c r="D19" s="21">
        <v>12486.800000000001</v>
      </c>
    </row>
    <row r="20" spans="1:4" ht="15" customHeight="1" x14ac:dyDescent="0.25">
      <c r="A20" s="10" t="s">
        <v>20</v>
      </c>
      <c r="B20" s="21">
        <v>11611.67</v>
      </c>
      <c r="C20" s="21">
        <v>11986.24</v>
      </c>
      <c r="D20" s="21">
        <v>16588.100000000002</v>
      </c>
    </row>
    <row r="21" spans="1:4" ht="15" customHeight="1" x14ac:dyDescent="0.25">
      <c r="A21" s="10" t="s">
        <v>22</v>
      </c>
      <c r="B21" s="22">
        <v>17952.099999999999</v>
      </c>
      <c r="C21" s="22">
        <v>12971.84</v>
      </c>
      <c r="D21" s="22">
        <v>17952.099999999999</v>
      </c>
    </row>
    <row r="22" spans="1:4" ht="15" customHeight="1" x14ac:dyDescent="0.25">
      <c r="A22" s="10" t="s">
        <v>34</v>
      </c>
      <c r="B22" s="24">
        <f>SUM(B19:B21)</f>
        <v>39553.21</v>
      </c>
      <c r="C22" s="24">
        <f>SUM(C19:C21)</f>
        <v>35108.639999999999</v>
      </c>
      <c r="D22" s="24">
        <f>SUM(D19:D21)</f>
        <v>47027</v>
      </c>
    </row>
    <row r="23" spans="1:4" ht="15" customHeight="1" x14ac:dyDescent="0.25">
      <c r="A23" s="20" t="s">
        <v>38</v>
      </c>
    </row>
    <row r="24" spans="1:4" ht="15" customHeight="1" x14ac:dyDescent="0.25">
      <c r="A24" s="10"/>
    </row>
    <row r="25" spans="1:4" ht="15" customHeight="1" x14ac:dyDescent="0.25">
      <c r="A25" s="15" t="s">
        <v>32</v>
      </c>
    </row>
    <row r="26" spans="1:4" ht="15" customHeight="1" x14ac:dyDescent="0.25">
      <c r="A26" s="10" t="s">
        <v>18</v>
      </c>
      <c r="B26" s="21">
        <v>9989.44</v>
      </c>
      <c r="C26" s="21">
        <v>10150.56</v>
      </c>
      <c r="D26" s="21">
        <v>12486.800000000001</v>
      </c>
    </row>
    <row r="27" spans="1:4" ht="15" customHeight="1" x14ac:dyDescent="0.25">
      <c r="A27" s="10" t="s">
        <v>22</v>
      </c>
      <c r="B27" s="22">
        <v>19905.72</v>
      </c>
      <c r="C27" s="22">
        <v>20975.919999999998</v>
      </c>
      <c r="D27" s="22">
        <v>24882.149999999998</v>
      </c>
    </row>
    <row r="28" spans="1:4" ht="15" customHeight="1" x14ac:dyDescent="0.25">
      <c r="A28" s="20" t="s">
        <v>39</v>
      </c>
      <c r="B28" s="23">
        <f>B26+B27</f>
        <v>29895.160000000003</v>
      </c>
      <c r="C28" s="23">
        <f t="shared" ref="C28" si="1">C26+C27</f>
        <v>31126.479999999996</v>
      </c>
      <c r="D28" s="23">
        <f t="shared" ref="D28" si="2">D26+D27</f>
        <v>37368.949999999997</v>
      </c>
    </row>
    <row r="30" spans="1:4" ht="15" customHeight="1" x14ac:dyDescent="0.25">
      <c r="A30" s="25" t="s">
        <v>40</v>
      </c>
      <c r="B30" s="23">
        <f>B11+B16+B22+B28</f>
        <v>166262.31000000003</v>
      </c>
      <c r="C30" s="23">
        <f>C11+C16+C22+C28</f>
        <v>154430.92000000001</v>
      </c>
      <c r="D30" s="23">
        <f>D11+D16+D22+D28</f>
        <v>180520.59999999998</v>
      </c>
    </row>
  </sheetData>
  <sheetProtection algorithmName="SHA-512" hashValue="jF3qA4RHvueMvH7sM1xFDRnHEiDXXefNFzRKXE14IlpNsiEuBBhFk7t+o906qEMFbYDiRr9NYPYHYdFk+Ij/TA==" saltValue="j6EHnMa41py0zzOY8T5ZTw==" spinCount="100000" sheet="1" objects="1" scenarios="1"/>
  <mergeCells count="1">
    <mergeCell ref="A1:E1"/>
  </mergeCells>
  <phoneticPr fontId="0" type="noConversion"/>
  <pageMargins left="1" right="1"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E19"/>
  <sheetViews>
    <sheetView workbookViewId="0">
      <selection activeCell="B3" sqref="B3:D10"/>
    </sheetView>
  </sheetViews>
  <sheetFormatPr defaultColWidth="8.7109375" defaultRowHeight="15" customHeight="1" x14ac:dyDescent="0.25"/>
  <cols>
    <col min="1" max="1" width="21.5703125" style="2" customWidth="1"/>
    <col min="2" max="4" width="14.140625" style="2" customWidth="1"/>
    <col min="5" max="5" width="15.140625" style="2" customWidth="1"/>
    <col min="6" max="16384" width="8.7109375" style="2"/>
  </cols>
  <sheetData>
    <row r="1" spans="1:5" ht="18" customHeight="1" x14ac:dyDescent="0.3">
      <c r="A1" s="1" t="s">
        <v>26</v>
      </c>
      <c r="B1" s="1"/>
      <c r="C1" s="1"/>
      <c r="D1" s="1"/>
      <c r="E1" s="1"/>
    </row>
    <row r="3" spans="1:5" ht="15" customHeight="1" x14ac:dyDescent="0.25">
      <c r="A3" s="15" t="s">
        <v>25</v>
      </c>
      <c r="B3" s="38" t="s">
        <v>3</v>
      </c>
      <c r="C3" s="38" t="s">
        <v>4</v>
      </c>
      <c r="D3" s="38" t="s">
        <v>5</v>
      </c>
      <c r="E3" s="16" t="s">
        <v>27</v>
      </c>
    </row>
    <row r="4" spans="1:5" ht="15" customHeight="1" x14ac:dyDescent="0.25">
      <c r="A4" s="10" t="s">
        <v>21</v>
      </c>
      <c r="B4" s="39">
        <v>4244.76</v>
      </c>
      <c r="C4" s="39">
        <v>5848.34</v>
      </c>
      <c r="D4" s="39">
        <v>6475.98</v>
      </c>
      <c r="E4" s="32">
        <f>SUM(B4:D4)</f>
        <v>16569.080000000002</v>
      </c>
    </row>
    <row r="5" spans="1:5" ht="15" customHeight="1" x14ac:dyDescent="0.25">
      <c r="A5" s="10" t="s">
        <v>19</v>
      </c>
      <c r="B5" s="40">
        <v>10450.440000000002</v>
      </c>
      <c r="C5" s="40">
        <v>11570.130000000001</v>
      </c>
      <c r="D5" s="40">
        <v>14642.1</v>
      </c>
      <c r="E5" s="33">
        <f>SUM(B5:D5)</f>
        <v>36662.670000000006</v>
      </c>
    </row>
    <row r="6" spans="1:5" ht="15" customHeight="1" x14ac:dyDescent="0.25">
      <c r="A6" s="10" t="s">
        <v>18</v>
      </c>
      <c r="B6" s="40">
        <v>10203.379999999999</v>
      </c>
      <c r="C6" s="40">
        <v>11354.53</v>
      </c>
      <c r="D6" s="40">
        <v>15395.63</v>
      </c>
      <c r="E6" s="33">
        <f>SUM(B6:D6)</f>
        <v>36953.54</v>
      </c>
    </row>
    <row r="7" spans="1:5" ht="15" customHeight="1" x14ac:dyDescent="0.25">
      <c r="A7" s="10" t="s">
        <v>20</v>
      </c>
      <c r="B7" s="40">
        <v>18837</v>
      </c>
      <c r="C7" s="40">
        <v>23520.09</v>
      </c>
      <c r="D7" s="40">
        <v>30791.25</v>
      </c>
      <c r="E7" s="33">
        <f>SUM(B7:D7)</f>
        <v>73148.34</v>
      </c>
    </row>
    <row r="8" spans="1:5" ht="15" customHeight="1" x14ac:dyDescent="0.25">
      <c r="A8" s="10" t="s">
        <v>22</v>
      </c>
      <c r="B8" s="40">
        <v>39794.629999999997</v>
      </c>
      <c r="C8" s="40">
        <v>43862.520000000004</v>
      </c>
      <c r="D8" s="40">
        <v>57821.25</v>
      </c>
      <c r="E8" s="33">
        <f>SUM(B8:D8)</f>
        <v>141478.39999999999</v>
      </c>
    </row>
    <row r="9" spans="1:5" ht="15" customHeight="1" x14ac:dyDescent="0.25">
      <c r="A9" s="10" t="s">
        <v>23</v>
      </c>
      <c r="B9" s="40">
        <v>25811.18</v>
      </c>
      <c r="C9" s="40">
        <v>27831.18</v>
      </c>
      <c r="D9" s="40">
        <v>36688.129999999997</v>
      </c>
      <c r="E9" s="33">
        <f>SUM(B9:D9)</f>
        <v>90330.489999999991</v>
      </c>
    </row>
    <row r="10" spans="1:5" ht="15" customHeight="1" x14ac:dyDescent="0.25">
      <c r="A10" s="10" t="s">
        <v>24</v>
      </c>
      <c r="B10" s="40">
        <v>3846.38</v>
      </c>
      <c r="C10" s="40">
        <v>11923.76</v>
      </c>
      <c r="D10" s="40">
        <v>16766.25</v>
      </c>
      <c r="E10" s="33">
        <f>SUM(B10:D10)</f>
        <v>32536.39</v>
      </c>
    </row>
    <row r="11" spans="1:5" ht="15" customHeight="1" thickBot="1" x14ac:dyDescent="0.3">
      <c r="A11" s="6" t="s">
        <v>17</v>
      </c>
      <c r="B11" s="34">
        <f>SUM(B4:B10)</f>
        <v>113187.76999999999</v>
      </c>
      <c r="C11" s="34">
        <f>SUM(C4:C10)</f>
        <v>135910.55000000002</v>
      </c>
      <c r="D11" s="34">
        <f>SUM(D4:D10)</f>
        <v>178580.59</v>
      </c>
      <c r="E11" s="34">
        <f>SUM(B11:D11)</f>
        <v>427678.91000000003</v>
      </c>
    </row>
    <row r="12" spans="1:5" ht="15" customHeight="1" thickTop="1" x14ac:dyDescent="0.25"/>
    <row r="13" spans="1:5" ht="15" customHeight="1" x14ac:dyDescent="0.25">
      <c r="B13" s="7"/>
      <c r="C13" s="7"/>
      <c r="D13" s="7"/>
    </row>
    <row r="14" spans="1:5" ht="15" customHeight="1" x14ac:dyDescent="0.25">
      <c r="B14" s="7"/>
      <c r="C14" s="7"/>
      <c r="D14" s="7"/>
    </row>
    <row r="15" spans="1:5" ht="15" customHeight="1" x14ac:dyDescent="0.25">
      <c r="B15" s="7"/>
      <c r="C15" s="7"/>
      <c r="D15" s="7"/>
    </row>
    <row r="16" spans="1:5" ht="15" customHeight="1" x14ac:dyDescent="0.25">
      <c r="B16" s="7"/>
      <c r="C16" s="7"/>
      <c r="D16" s="7"/>
    </row>
    <row r="17" spans="2:4" ht="15" customHeight="1" x14ac:dyDescent="0.25">
      <c r="B17" s="7"/>
      <c r="C17" s="7"/>
      <c r="D17" s="7"/>
    </row>
    <row r="18" spans="2:4" ht="15" customHeight="1" x14ac:dyDescent="0.25">
      <c r="B18" s="7"/>
      <c r="C18" s="7"/>
      <c r="D18" s="7"/>
    </row>
    <row r="19" spans="2:4" ht="15" customHeight="1" x14ac:dyDescent="0.25">
      <c r="B19" s="7"/>
      <c r="C19" s="7"/>
      <c r="D19" s="7"/>
    </row>
  </sheetData>
  <sheetProtection algorithmName="SHA-512" hashValue="r79mxTDUyT1X4Uh0YbAdW7FAeZr7MZO/AwQtR01mbRgBCc7oTwdH3+KcNEnym3eZKIInie4frJBn8KY/kuSFZQ==" saltValue="43OdGF3yqbe1y2l1vCzmYA==" spinCount="100000" sheet="1" objects="1" scenarios="1"/>
  <mergeCells count="1">
    <mergeCell ref="A1:E1"/>
  </mergeCells>
  <pageMargins left="1" right="1" top="1" bottom="1"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pageSetUpPr fitToPage="1"/>
  </sheetPr>
  <dimension ref="A1:E19"/>
  <sheetViews>
    <sheetView workbookViewId="0">
      <selection activeCell="B3" sqref="B3:D10"/>
    </sheetView>
  </sheetViews>
  <sheetFormatPr defaultColWidth="8.7109375" defaultRowHeight="15" customHeight="1" x14ac:dyDescent="0.25"/>
  <cols>
    <col min="1" max="1" width="21.5703125" style="2" customWidth="1"/>
    <col min="2" max="4" width="14.140625" style="2" customWidth="1"/>
    <col min="5" max="5" width="15.140625" style="2" customWidth="1"/>
    <col min="6" max="16384" width="8.7109375" style="2"/>
  </cols>
  <sheetData>
    <row r="1" spans="1:5" ht="18" customHeight="1" x14ac:dyDescent="0.3">
      <c r="A1" s="1" t="s">
        <v>26</v>
      </c>
      <c r="B1" s="1"/>
      <c r="C1" s="1"/>
      <c r="D1" s="1"/>
      <c r="E1" s="1"/>
    </row>
    <row r="3" spans="1:5" ht="15" customHeight="1" x14ac:dyDescent="0.25">
      <c r="A3" s="15" t="s">
        <v>25</v>
      </c>
      <c r="B3" s="38" t="s">
        <v>6</v>
      </c>
      <c r="C3" s="38" t="s">
        <v>7</v>
      </c>
      <c r="D3" s="38" t="s">
        <v>8</v>
      </c>
      <c r="E3" s="16" t="s">
        <v>27</v>
      </c>
    </row>
    <row r="4" spans="1:5" ht="15" customHeight="1" x14ac:dyDescent="0.25">
      <c r="A4" s="10" t="s">
        <v>21</v>
      </c>
      <c r="B4" s="44">
        <v>7828.8000000000011</v>
      </c>
      <c r="C4" s="44">
        <v>9245.44</v>
      </c>
      <c r="D4" s="44">
        <v>6710.4000000000005</v>
      </c>
      <c r="E4" s="31">
        <f>SUM(B4:D4)</f>
        <v>23784.640000000003</v>
      </c>
    </row>
    <row r="5" spans="1:5" ht="15" customHeight="1" x14ac:dyDescent="0.25">
      <c r="A5" s="10" t="s">
        <v>19</v>
      </c>
      <c r="B5" s="42">
        <v>16077.600000000002</v>
      </c>
      <c r="C5" s="42">
        <v>17800.2</v>
      </c>
      <c r="D5" s="42">
        <v>14929.199999999999</v>
      </c>
      <c r="E5" s="18">
        <f>SUM(B5:D5)</f>
        <v>48807</v>
      </c>
    </row>
    <row r="6" spans="1:5" ht="15" customHeight="1" x14ac:dyDescent="0.25">
      <c r="A6" s="10" t="s">
        <v>18</v>
      </c>
      <c r="B6" s="42">
        <v>18290.999999999996</v>
      </c>
      <c r="C6" s="42">
        <v>20250.75</v>
      </c>
      <c r="D6" s="42">
        <v>19597.5</v>
      </c>
      <c r="E6" s="18">
        <f>SUM(B6:D6)</f>
        <v>58139.25</v>
      </c>
    </row>
    <row r="7" spans="1:5" ht="15" customHeight="1" x14ac:dyDescent="0.25">
      <c r="A7" s="10" t="s">
        <v>20</v>
      </c>
      <c r="B7" s="42">
        <v>38261.999999999993</v>
      </c>
      <c r="C7" s="42">
        <v>42361.5</v>
      </c>
      <c r="D7" s="42">
        <v>39628.499999999993</v>
      </c>
      <c r="E7" s="18">
        <f>SUM(B7:D7)</f>
        <v>120252</v>
      </c>
    </row>
    <row r="8" spans="1:5" ht="15" customHeight="1" x14ac:dyDescent="0.25">
      <c r="A8" s="10" t="s">
        <v>22</v>
      </c>
      <c r="B8" s="42">
        <v>69501.600000000006</v>
      </c>
      <c r="C8" s="42">
        <v>73284</v>
      </c>
      <c r="D8" s="42">
        <v>68083.199999999997</v>
      </c>
      <c r="E8" s="18">
        <f>SUM(B8:D8)</f>
        <v>210868.8</v>
      </c>
    </row>
    <row r="9" spans="1:5" ht="15" customHeight="1" x14ac:dyDescent="0.25">
      <c r="A9" s="10" t="s">
        <v>23</v>
      </c>
      <c r="B9" s="42">
        <v>43740</v>
      </c>
      <c r="C9" s="45">
        <v>47081.25</v>
      </c>
      <c r="D9" s="42">
        <v>45562.5</v>
      </c>
      <c r="E9" s="18">
        <f>SUM(B9:D9)</f>
        <v>136383.75</v>
      </c>
    </row>
    <row r="10" spans="1:5" ht="15" customHeight="1" x14ac:dyDescent="0.25">
      <c r="A10" s="10" t="s">
        <v>24</v>
      </c>
      <c r="B10" s="42">
        <v>20025</v>
      </c>
      <c r="C10" s="42">
        <v>20692.5</v>
      </c>
      <c r="D10" s="42">
        <v>20025</v>
      </c>
      <c r="E10" s="18">
        <f>SUM(B10:D10)</f>
        <v>60742.5</v>
      </c>
    </row>
    <row r="11" spans="1:5" ht="15" customHeight="1" thickBot="1" x14ac:dyDescent="0.3">
      <c r="A11" s="6" t="s">
        <v>17</v>
      </c>
      <c r="B11" s="34">
        <f>SUM(B4:B10)</f>
        <v>213726</v>
      </c>
      <c r="C11" s="34">
        <f>SUM(C4:C10)</f>
        <v>230715.64</v>
      </c>
      <c r="D11" s="34">
        <f>SUM(D4:D10)</f>
        <v>214536.3</v>
      </c>
      <c r="E11" s="34">
        <f>SUM(B11:D11)</f>
        <v>658977.93999999994</v>
      </c>
    </row>
    <row r="12" spans="1:5" ht="15" customHeight="1" thickTop="1" x14ac:dyDescent="0.25">
      <c r="D12" s="7"/>
    </row>
    <row r="13" spans="1:5" ht="15" customHeight="1" x14ac:dyDescent="0.25">
      <c r="B13" s="7"/>
      <c r="C13" s="7"/>
      <c r="D13" s="7"/>
    </row>
    <row r="14" spans="1:5" ht="15" customHeight="1" x14ac:dyDescent="0.25">
      <c r="B14" s="7"/>
      <c r="C14" s="7"/>
      <c r="D14" s="7"/>
    </row>
    <row r="15" spans="1:5" ht="15" customHeight="1" x14ac:dyDescent="0.25">
      <c r="B15" s="7"/>
      <c r="C15" s="7"/>
      <c r="D15" s="7"/>
    </row>
    <row r="16" spans="1:5" ht="15" customHeight="1" x14ac:dyDescent="0.25">
      <c r="B16" s="7"/>
      <c r="C16" s="7"/>
      <c r="D16" s="7"/>
    </row>
    <row r="17" spans="2:4" ht="15" customHeight="1" x14ac:dyDescent="0.25">
      <c r="B17" s="7"/>
      <c r="C17" s="7"/>
      <c r="D17" s="7"/>
    </row>
    <row r="18" spans="2:4" ht="15" customHeight="1" x14ac:dyDescent="0.25">
      <c r="B18" s="7"/>
      <c r="C18" s="7"/>
      <c r="D18" s="7"/>
    </row>
    <row r="19" spans="2:4" ht="15" customHeight="1" x14ac:dyDescent="0.25">
      <c r="B19" s="7"/>
      <c r="C19" s="7"/>
      <c r="D19" s="7"/>
    </row>
  </sheetData>
  <sheetProtection algorithmName="SHA-512" hashValue="YEvUx9Ae/CeOgXqvU55Q8g5tLbfG/nZ8ARofe9ptgdBDKNRG7AFg6/rqQh3lwvg0OfzK1G+vBrx2f/AOTyteKQ==" saltValue="uzTcRPD5R+T7IFrRQPfuMQ==" spinCount="100000" sheet="1" objects="1" scenarios="1"/>
  <mergeCells count="1">
    <mergeCell ref="A1:E1"/>
  </mergeCells>
  <pageMargins left="1" right="1" top="1" bottom="1"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E19"/>
  <sheetViews>
    <sheetView tabSelected="1" workbookViewId="0">
      <selection activeCell="B3" sqref="B3:D10"/>
    </sheetView>
  </sheetViews>
  <sheetFormatPr defaultColWidth="8.7109375" defaultRowHeight="15" customHeight="1" x14ac:dyDescent="0.25"/>
  <cols>
    <col min="1" max="1" width="21.5703125" style="2" customWidth="1"/>
    <col min="2" max="4" width="14.140625" style="2" customWidth="1"/>
    <col min="5" max="5" width="15.140625" style="2" customWidth="1"/>
    <col min="6" max="16384" width="8.7109375" style="2"/>
  </cols>
  <sheetData>
    <row r="1" spans="1:5" ht="18" customHeight="1" x14ac:dyDescent="0.3">
      <c r="A1" s="1" t="s">
        <v>26</v>
      </c>
      <c r="B1" s="1"/>
      <c r="C1" s="1"/>
      <c r="D1" s="1"/>
      <c r="E1" s="1"/>
    </row>
    <row r="3" spans="1:5" ht="15" customHeight="1" x14ac:dyDescent="0.25">
      <c r="A3" s="15" t="s">
        <v>25</v>
      </c>
      <c r="B3" s="38" t="s">
        <v>9</v>
      </c>
      <c r="C3" s="38" t="s">
        <v>10</v>
      </c>
      <c r="D3" s="38" t="s">
        <v>11</v>
      </c>
      <c r="E3" s="16" t="s">
        <v>27</v>
      </c>
    </row>
    <row r="4" spans="1:5" ht="15" customHeight="1" x14ac:dyDescent="0.25">
      <c r="A4" s="10" t="s">
        <v>21</v>
      </c>
      <c r="B4" s="41">
        <v>6039.3600000000006</v>
      </c>
      <c r="C4" s="41">
        <v>5978.97</v>
      </c>
      <c r="D4" s="41">
        <v>6277.91</v>
      </c>
      <c r="E4" s="9">
        <f>SUM(B4:D4)</f>
        <v>18296.240000000002</v>
      </c>
    </row>
    <row r="5" spans="1:5" ht="15" customHeight="1" x14ac:dyDescent="0.25">
      <c r="A5" s="10" t="s">
        <v>19</v>
      </c>
      <c r="B5" s="42">
        <v>13436.279999999999</v>
      </c>
      <c r="C5" s="43">
        <v>13301.92</v>
      </c>
      <c r="D5" s="43">
        <v>13967.01</v>
      </c>
      <c r="E5" s="18">
        <f>SUM(B5:D5)</f>
        <v>40705.21</v>
      </c>
    </row>
    <row r="6" spans="1:5" ht="15" customHeight="1" x14ac:dyDescent="0.25">
      <c r="A6" s="10" t="s">
        <v>18</v>
      </c>
      <c r="B6" s="42">
        <v>17637.75</v>
      </c>
      <c r="C6" s="43">
        <v>17461.37</v>
      </c>
      <c r="D6" s="43">
        <v>18334.439999999999</v>
      </c>
      <c r="E6" s="18">
        <f>SUM(B6:D6)</f>
        <v>53433.56</v>
      </c>
    </row>
    <row r="7" spans="1:5" ht="15" customHeight="1" x14ac:dyDescent="0.25">
      <c r="A7" s="10" t="s">
        <v>20</v>
      </c>
      <c r="B7" s="42">
        <v>35665.649999999994</v>
      </c>
      <c r="C7" s="43">
        <v>35308.99</v>
      </c>
      <c r="D7" s="43">
        <v>37074.44</v>
      </c>
      <c r="E7" s="18">
        <f>SUM(B7:D7)</f>
        <v>108049.07999999999</v>
      </c>
    </row>
    <row r="8" spans="1:5" ht="15" customHeight="1" x14ac:dyDescent="0.25">
      <c r="A8" s="10" t="s">
        <v>22</v>
      </c>
      <c r="B8" s="42">
        <v>61274.879999999997</v>
      </c>
      <c r="C8" s="43">
        <v>60662.13</v>
      </c>
      <c r="D8" s="43">
        <v>63695.24</v>
      </c>
      <c r="E8" s="18">
        <f>SUM(B8:D8)</f>
        <v>185632.25</v>
      </c>
    </row>
    <row r="9" spans="1:5" ht="15" customHeight="1" x14ac:dyDescent="0.25">
      <c r="A9" s="10" t="s">
        <v>23</v>
      </c>
      <c r="B9" s="42">
        <v>41006.25</v>
      </c>
      <c r="C9" s="43">
        <v>40596.19</v>
      </c>
      <c r="D9" s="43">
        <v>42626</v>
      </c>
      <c r="E9" s="18">
        <f>SUM(B9:D9)</f>
        <v>124228.44</v>
      </c>
    </row>
    <row r="10" spans="1:5" ht="15" customHeight="1" x14ac:dyDescent="0.25">
      <c r="A10" s="10" t="s">
        <v>24</v>
      </c>
      <c r="B10" s="42">
        <v>18022.5</v>
      </c>
      <c r="C10" s="43">
        <v>17842.28</v>
      </c>
      <c r="D10" s="43">
        <v>18734.39</v>
      </c>
      <c r="E10" s="18">
        <f>SUM(B10:D10)</f>
        <v>54599.17</v>
      </c>
    </row>
    <row r="11" spans="1:5" ht="15" customHeight="1" thickBot="1" x14ac:dyDescent="0.3">
      <c r="A11" s="6" t="s">
        <v>17</v>
      </c>
      <c r="B11" s="34">
        <f>SUM(B4:B10)</f>
        <v>193082.66999999998</v>
      </c>
      <c r="C11" s="34">
        <f>SUM(C4:C10)</f>
        <v>191151.85</v>
      </c>
      <c r="D11" s="34">
        <f>SUM(D4:D10)</f>
        <v>200709.43</v>
      </c>
      <c r="E11" s="34">
        <f>SUM(B11:D11)</f>
        <v>584943.94999999995</v>
      </c>
    </row>
    <row r="12" spans="1:5" ht="15" customHeight="1" thickTop="1" x14ac:dyDescent="0.25"/>
    <row r="13" spans="1:5" ht="15" customHeight="1" x14ac:dyDescent="0.25">
      <c r="B13" s="7"/>
      <c r="C13" s="7"/>
      <c r="D13" s="7"/>
    </row>
    <row r="14" spans="1:5" ht="15" customHeight="1" x14ac:dyDescent="0.25">
      <c r="B14" s="7"/>
      <c r="C14" s="7"/>
      <c r="D14" s="7"/>
    </row>
    <row r="15" spans="1:5" ht="15" customHeight="1" x14ac:dyDescent="0.25">
      <c r="B15" s="7"/>
      <c r="C15" s="7"/>
      <c r="D15" s="7"/>
    </row>
    <row r="16" spans="1:5" ht="15" customHeight="1" x14ac:dyDescent="0.25">
      <c r="B16" s="7"/>
      <c r="C16" s="7"/>
      <c r="D16" s="7"/>
    </row>
    <row r="17" spans="2:4" ht="15" customHeight="1" x14ac:dyDescent="0.25">
      <c r="B17" s="7"/>
      <c r="C17" s="7"/>
      <c r="D17" s="7"/>
    </row>
    <row r="18" spans="2:4" ht="15" customHeight="1" x14ac:dyDescent="0.25">
      <c r="B18" s="7"/>
      <c r="C18" s="7"/>
      <c r="D18" s="7"/>
    </row>
    <row r="19" spans="2:4" ht="15" customHeight="1" x14ac:dyDescent="0.25">
      <c r="B19" s="7"/>
      <c r="C19" s="7"/>
      <c r="D19" s="7"/>
    </row>
  </sheetData>
  <sheetProtection algorithmName="SHA-512" hashValue="QUZDfCNto1ixED+FgYNHTDnTMehT6NGOm5vWq0+wzJD9UUYry7ZkWagJ1DXFxtNVZY/yLyoVZLGSdHp/LmeUpA==" saltValue="U2Pk/5qgmX3FY/mt7+pLKA==" spinCount="100000" sheet="1" objects="1" scenarios="1"/>
  <mergeCells count="1">
    <mergeCell ref="A1:E1"/>
  </mergeCells>
  <pageMargins left="1" right="1" top="1" bottom="1" header="0.5" footer="0.5"/>
  <pageSetup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pageSetUpPr fitToPage="1"/>
  </sheetPr>
  <dimension ref="A1:F12"/>
  <sheetViews>
    <sheetView workbookViewId="0">
      <selection activeCell="B11" sqref="B11:F11"/>
    </sheetView>
  </sheetViews>
  <sheetFormatPr defaultColWidth="8.7109375" defaultRowHeight="15" customHeight="1" x14ac:dyDescent="0.25"/>
  <cols>
    <col min="1" max="1" width="21.5703125" style="2" customWidth="1"/>
    <col min="2" max="6" width="14.7109375" style="2" customWidth="1"/>
    <col min="7" max="16384" width="8.7109375" style="2"/>
  </cols>
  <sheetData>
    <row r="1" spans="1:6" ht="18" customHeight="1" x14ac:dyDescent="0.3">
      <c r="A1" s="1" t="s">
        <v>26</v>
      </c>
      <c r="B1" s="1"/>
      <c r="C1" s="1"/>
      <c r="D1" s="1"/>
      <c r="E1" s="1"/>
    </row>
    <row r="3" spans="1:6" ht="15" customHeight="1" x14ac:dyDescent="0.25">
      <c r="A3" s="15" t="s">
        <v>25</v>
      </c>
      <c r="B3" s="35" t="s">
        <v>12</v>
      </c>
      <c r="C3" s="35" t="s">
        <v>13</v>
      </c>
      <c r="D3" s="35" t="s">
        <v>14</v>
      </c>
      <c r="E3" s="35" t="s">
        <v>15</v>
      </c>
      <c r="F3" s="16" t="s">
        <v>27</v>
      </c>
    </row>
    <row r="4" spans="1:6" ht="15" customHeight="1" x14ac:dyDescent="0.25">
      <c r="A4" s="10" t="s">
        <v>21</v>
      </c>
      <c r="B4" s="5">
        <f>'Qtr1'!E4</f>
        <v>11860.880000000001</v>
      </c>
      <c r="C4" s="5">
        <f>'Qtr2'!E4</f>
        <v>16569.080000000002</v>
      </c>
      <c r="D4" s="5">
        <f>'Qtr3'!E4</f>
        <v>23784.640000000003</v>
      </c>
      <c r="E4" s="5">
        <f>'Qtr4'!E4</f>
        <v>18296.240000000002</v>
      </c>
      <c r="F4" s="5">
        <f>SUM('Qtr1:Qtr4'!E4)</f>
        <v>70510.840000000011</v>
      </c>
    </row>
    <row r="5" spans="1:6" ht="15" customHeight="1" x14ac:dyDescent="0.25">
      <c r="A5" s="10" t="s">
        <v>19</v>
      </c>
      <c r="B5" s="3">
        <f>'Qtr1'!E5</f>
        <v>19522.46</v>
      </c>
      <c r="C5" s="3">
        <f>'Qtr2'!E5</f>
        <v>36662.670000000006</v>
      </c>
      <c r="D5" s="3">
        <f>'Qtr3'!E5</f>
        <v>48807</v>
      </c>
      <c r="E5" s="3">
        <f>'Qtr4'!E5</f>
        <v>40705.21</v>
      </c>
      <c r="F5" s="3">
        <f>SUM('Qtr1:Qtr4'!E5)</f>
        <v>145697.34</v>
      </c>
    </row>
    <row r="6" spans="1:6" ht="15" customHeight="1" x14ac:dyDescent="0.25">
      <c r="A6" s="10" t="s">
        <v>18</v>
      </c>
      <c r="B6" s="3">
        <f>'Qtr1'!E6</f>
        <v>21781.759999999998</v>
      </c>
      <c r="C6" s="3">
        <f>'Qtr2'!E6</f>
        <v>36953.54</v>
      </c>
      <c r="D6" s="3">
        <f>'Qtr3'!E6</f>
        <v>58139.25</v>
      </c>
      <c r="E6" s="3">
        <f>'Qtr4'!E6</f>
        <v>53433.56</v>
      </c>
      <c r="F6" s="3">
        <f>SUM('Qtr1:Qtr4'!E6)</f>
        <v>170308.11</v>
      </c>
    </row>
    <row r="7" spans="1:6" ht="15" customHeight="1" x14ac:dyDescent="0.25">
      <c r="A7" s="10" t="s">
        <v>20</v>
      </c>
      <c r="B7" s="3">
        <f>'Qtr1'!E7</f>
        <v>42457.79</v>
      </c>
      <c r="C7" s="3">
        <f>'Qtr2'!E7</f>
        <v>73148.34</v>
      </c>
      <c r="D7" s="3">
        <f>'Qtr3'!E7</f>
        <v>120252</v>
      </c>
      <c r="E7" s="3">
        <f>'Qtr4'!E7</f>
        <v>108049.07999999999</v>
      </c>
      <c r="F7" s="3">
        <f>SUM('Qtr1:Qtr4'!E7)</f>
        <v>343907.20999999996</v>
      </c>
    </row>
    <row r="8" spans="1:6" ht="15" customHeight="1" x14ac:dyDescent="0.25">
      <c r="A8" s="10" t="s">
        <v>22</v>
      </c>
      <c r="B8" s="3">
        <f>'Qtr1'!E8</f>
        <v>79693.98000000001</v>
      </c>
      <c r="C8" s="3">
        <f>'Qtr2'!E8</f>
        <v>141478.39999999999</v>
      </c>
      <c r="D8" s="3">
        <f>'Qtr3'!E8</f>
        <v>210868.8</v>
      </c>
      <c r="E8" s="3">
        <f>'Qtr4'!E8</f>
        <v>185632.25</v>
      </c>
      <c r="F8" s="3">
        <f>SUM('Qtr1:Qtr4'!E8)</f>
        <v>617673.42999999993</v>
      </c>
    </row>
    <row r="9" spans="1:6" ht="15" customHeight="1" x14ac:dyDescent="0.25">
      <c r="A9" s="10" t="s">
        <v>23</v>
      </c>
      <c r="B9" s="3">
        <f>'Qtr1'!E9</f>
        <v>57121.930000000008</v>
      </c>
      <c r="C9" s="3">
        <f>'Qtr2'!E9</f>
        <v>90330.489999999991</v>
      </c>
      <c r="D9" s="3">
        <f>'Qtr3'!E9</f>
        <v>136383.75</v>
      </c>
      <c r="E9" s="3">
        <f>'Qtr4'!E9</f>
        <v>124228.44</v>
      </c>
      <c r="F9" s="3">
        <f>SUM('Qtr1:Qtr4'!E9)</f>
        <v>408064.61</v>
      </c>
    </row>
    <row r="10" spans="1:6" ht="15" customHeight="1" x14ac:dyDescent="0.25">
      <c r="A10" s="10" t="s">
        <v>24</v>
      </c>
      <c r="B10" s="3">
        <f>'Qtr1'!E10</f>
        <v>7730.99</v>
      </c>
      <c r="C10" s="3">
        <f>'Qtr2'!E10</f>
        <v>32536.39</v>
      </c>
      <c r="D10" s="3">
        <f>'Qtr3'!E10</f>
        <v>60742.5</v>
      </c>
      <c r="E10" s="3">
        <f>'Qtr4'!E10</f>
        <v>54599.17</v>
      </c>
      <c r="F10" s="3">
        <f>SUM('Qtr1:Qtr4'!E10)</f>
        <v>155609.04999999999</v>
      </c>
    </row>
    <row r="11" spans="1:6" ht="15" customHeight="1" thickBot="1" x14ac:dyDescent="0.3">
      <c r="A11" s="30" t="s">
        <v>47</v>
      </c>
      <c r="B11" s="34">
        <f>'Qtr1'!E11</f>
        <v>240169.79000000004</v>
      </c>
      <c r="C11" s="34">
        <f>'Qtr2'!E11</f>
        <v>427678.91000000003</v>
      </c>
      <c r="D11" s="34">
        <f>'Qtr3'!E11</f>
        <v>658977.93999999994</v>
      </c>
      <c r="E11" s="34">
        <f>'Qtr4'!E11</f>
        <v>584943.94999999995</v>
      </c>
      <c r="F11" s="34">
        <f>SUM('Qtr1:Qtr4'!E11)</f>
        <v>1911770.59</v>
      </c>
    </row>
    <row r="12" spans="1:6" ht="15" customHeight="1" thickTop="1" x14ac:dyDescent="0.25"/>
  </sheetData>
  <mergeCells count="1">
    <mergeCell ref="A1:E1"/>
  </mergeCells>
  <phoneticPr fontId="3" type="noConversion"/>
  <hyperlinks>
    <hyperlink ref="B3" location="'Qtr1'!E4:E11" tooltip="Qtr 1 Totals" display="Qtr 1" xr:uid="{0BF9C407-5C09-4A6D-B809-6D9CF4BC0F15}"/>
    <hyperlink ref="C3" location="'Qtr2'!E4:E11" tooltip="Qtr 2 Totals" display="Qtr 2" xr:uid="{8F040D6D-24B5-4866-898E-4827DBE55E79}"/>
    <hyperlink ref="D3" location="'Qtr3'!E4:E11" tooltip="Qtr 3 Totals" display="Qtr 3" xr:uid="{199BF589-3480-4934-A312-B16E69F50762}"/>
    <hyperlink ref="E3" location="'Qtr4'!E4:E11" tooltip="Qtr 4 Totals" display="Qtr 4" xr:uid="{ED6A11DF-4C40-4700-9E51-F41A18C8F689}"/>
  </hyperlinks>
  <pageMargins left="1" right="1" top="1" bottom="1"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1CBA6-AC60-4324-9C1D-AFB693E2A75C}">
  <sheetPr>
    <tabColor rgb="FFFFFF00"/>
  </sheetPr>
  <dimension ref="A1:N10"/>
  <sheetViews>
    <sheetView workbookViewId="0">
      <selection activeCell="H13" sqref="H13"/>
    </sheetView>
  </sheetViews>
  <sheetFormatPr defaultColWidth="8.7109375" defaultRowHeight="15" x14ac:dyDescent="0.25"/>
  <cols>
    <col min="1" max="1" width="14" style="2" bestFit="1" customWidth="1"/>
    <col min="2" max="4" width="11.7109375" style="2" bestFit="1" customWidth="1"/>
    <col min="5" max="13" width="12.85546875" style="2" bestFit="1" customWidth="1"/>
    <col min="14" max="14" width="14.5703125" style="2" bestFit="1" customWidth="1"/>
    <col min="15" max="16384" width="8.7109375" style="2"/>
  </cols>
  <sheetData>
    <row r="1" spans="1:14" x14ac:dyDescent="0.25">
      <c r="B1" s="37" t="s">
        <v>0</v>
      </c>
      <c r="C1" s="37" t="s">
        <v>1</v>
      </c>
      <c r="D1" s="37" t="s">
        <v>2</v>
      </c>
      <c r="E1" s="37" t="s">
        <v>3</v>
      </c>
      <c r="F1" s="37" t="s">
        <v>4</v>
      </c>
      <c r="G1" s="37" t="s">
        <v>5</v>
      </c>
      <c r="H1" s="37" t="s">
        <v>6</v>
      </c>
      <c r="I1" s="37" t="s">
        <v>7</v>
      </c>
      <c r="J1" s="37" t="s">
        <v>8</v>
      </c>
      <c r="K1" s="37" t="s">
        <v>9</v>
      </c>
      <c r="L1" s="37" t="s">
        <v>10</v>
      </c>
      <c r="M1" s="37" t="s">
        <v>11</v>
      </c>
      <c r="N1" s="37" t="s">
        <v>27</v>
      </c>
    </row>
    <row r="2" spans="1:14" x14ac:dyDescent="0.25">
      <c r="A2" s="2" t="s">
        <v>21</v>
      </c>
      <c r="B2" s="5">
        <v>4250.72</v>
      </c>
      <c r="C2" s="5">
        <v>3359.44</v>
      </c>
      <c r="D2" s="5">
        <v>4250.72</v>
      </c>
      <c r="E2" s="5">
        <v>4244.76</v>
      </c>
      <c r="F2" s="5">
        <v>5848.34</v>
      </c>
      <c r="G2" s="5">
        <v>6475.98</v>
      </c>
      <c r="H2" s="5">
        <v>7828.8000000000011</v>
      </c>
      <c r="I2" s="5">
        <v>9245.44</v>
      </c>
      <c r="J2" s="5">
        <v>6710.4000000000005</v>
      </c>
      <c r="K2" s="5">
        <v>6039.3600000000006</v>
      </c>
      <c r="L2" s="5">
        <v>5978.97</v>
      </c>
      <c r="M2" s="5">
        <v>6277.91</v>
      </c>
      <c r="N2" s="5">
        <v>70510.840000000011</v>
      </c>
    </row>
    <row r="3" spans="1:14" x14ac:dyDescent="0.25">
      <c r="A3" s="2" t="s">
        <v>19</v>
      </c>
      <c r="B3" s="36">
        <v>6907.42</v>
      </c>
      <c r="C3" s="36">
        <v>6238.96</v>
      </c>
      <c r="D3" s="36">
        <v>6376.08</v>
      </c>
      <c r="E3" s="36">
        <v>10450.440000000002</v>
      </c>
      <c r="F3" s="36">
        <v>11570.130000000001</v>
      </c>
      <c r="G3" s="36">
        <v>14642.1</v>
      </c>
      <c r="H3" s="36">
        <v>16077.600000000002</v>
      </c>
      <c r="I3" s="36">
        <v>17800.2</v>
      </c>
      <c r="J3" s="36">
        <v>14929.199999999999</v>
      </c>
      <c r="K3" s="36">
        <v>13436.279999999999</v>
      </c>
      <c r="L3" s="36">
        <v>13301.92</v>
      </c>
      <c r="M3" s="36">
        <v>13967.01</v>
      </c>
      <c r="N3" s="36">
        <v>145697.34</v>
      </c>
    </row>
    <row r="4" spans="1:14" x14ac:dyDescent="0.25">
      <c r="A4" s="2" t="s">
        <v>18</v>
      </c>
      <c r="B4" s="36">
        <v>7673.119999999999</v>
      </c>
      <c r="C4" s="36">
        <v>6435.52</v>
      </c>
      <c r="D4" s="36">
        <v>7673.119999999999</v>
      </c>
      <c r="E4" s="36">
        <v>10203.379999999999</v>
      </c>
      <c r="F4" s="36">
        <v>11354.53</v>
      </c>
      <c r="G4" s="36">
        <v>15395.63</v>
      </c>
      <c r="H4" s="36">
        <v>18290.999999999996</v>
      </c>
      <c r="I4" s="36">
        <v>20250.75</v>
      </c>
      <c r="J4" s="36">
        <v>19597.5</v>
      </c>
      <c r="K4" s="36">
        <v>17637.75</v>
      </c>
      <c r="L4" s="36">
        <v>17461.37</v>
      </c>
      <c r="M4" s="36">
        <v>18334.439999999999</v>
      </c>
      <c r="N4" s="36">
        <v>170308.11</v>
      </c>
    </row>
    <row r="5" spans="1:14" x14ac:dyDescent="0.25">
      <c r="A5" s="2" t="s">
        <v>20</v>
      </c>
      <c r="B5" s="36">
        <v>14604.88</v>
      </c>
      <c r="C5" s="36">
        <v>12663.84</v>
      </c>
      <c r="D5" s="36">
        <v>15189.07</v>
      </c>
      <c r="E5" s="36">
        <v>18837</v>
      </c>
      <c r="F5" s="36">
        <v>23520.09</v>
      </c>
      <c r="G5" s="36">
        <v>30791.25</v>
      </c>
      <c r="H5" s="36">
        <v>38261.999999999993</v>
      </c>
      <c r="I5" s="36">
        <v>42361.5</v>
      </c>
      <c r="J5" s="36">
        <v>39628.499999999993</v>
      </c>
      <c r="K5" s="36">
        <v>35665.649999999994</v>
      </c>
      <c r="L5" s="36">
        <v>35308.99</v>
      </c>
      <c r="M5" s="36">
        <v>37074.44</v>
      </c>
      <c r="N5" s="36">
        <v>343907.20999999996</v>
      </c>
    </row>
    <row r="6" spans="1:14" x14ac:dyDescent="0.25">
      <c r="A6" s="2" t="s">
        <v>22</v>
      </c>
      <c r="B6" s="36">
        <v>28095.300000000003</v>
      </c>
      <c r="C6" s="36">
        <v>25376.400000000001</v>
      </c>
      <c r="D6" s="36">
        <v>26222.28</v>
      </c>
      <c r="E6" s="36">
        <v>39794.629999999997</v>
      </c>
      <c r="F6" s="36">
        <v>43862.520000000004</v>
      </c>
      <c r="G6" s="36">
        <v>57821.25</v>
      </c>
      <c r="H6" s="36">
        <v>69501.600000000006</v>
      </c>
      <c r="I6" s="36">
        <v>73284</v>
      </c>
      <c r="J6" s="36">
        <v>68083.199999999997</v>
      </c>
      <c r="K6" s="36">
        <v>61274.879999999997</v>
      </c>
      <c r="L6" s="36">
        <v>60662.13</v>
      </c>
      <c r="M6" s="36">
        <v>63695.24</v>
      </c>
      <c r="N6" s="36">
        <v>617673.42999999993</v>
      </c>
    </row>
    <row r="7" spans="1:14" x14ac:dyDescent="0.25">
      <c r="A7" s="2" t="s">
        <v>23</v>
      </c>
      <c r="B7" s="36">
        <v>20735.13</v>
      </c>
      <c r="C7" s="36">
        <v>16481.080000000002</v>
      </c>
      <c r="D7" s="36">
        <v>19905.72</v>
      </c>
      <c r="E7" s="36">
        <v>25811.18</v>
      </c>
      <c r="F7" s="36">
        <v>27831.18</v>
      </c>
      <c r="G7" s="36">
        <v>36688.129999999997</v>
      </c>
      <c r="H7" s="36">
        <v>43740</v>
      </c>
      <c r="I7" s="36">
        <v>47081.25</v>
      </c>
      <c r="J7" s="36">
        <v>45562.5</v>
      </c>
      <c r="K7" s="36">
        <v>41006.25</v>
      </c>
      <c r="L7" s="36">
        <v>40596.19</v>
      </c>
      <c r="M7" s="36">
        <v>42626</v>
      </c>
      <c r="N7" s="36">
        <v>408064.61</v>
      </c>
    </row>
    <row r="8" spans="1:14" x14ac:dyDescent="0.25">
      <c r="A8" s="2" t="s">
        <v>24</v>
      </c>
      <c r="B8" s="36">
        <v>1795.2099999999998</v>
      </c>
      <c r="C8" s="36">
        <v>3242.96</v>
      </c>
      <c r="D8" s="36">
        <v>2692.82</v>
      </c>
      <c r="E8" s="36">
        <v>3846.38</v>
      </c>
      <c r="F8" s="36">
        <v>11923.76</v>
      </c>
      <c r="G8" s="36">
        <v>16766.25</v>
      </c>
      <c r="H8" s="36">
        <v>20025</v>
      </c>
      <c r="I8" s="36">
        <v>20692.5</v>
      </c>
      <c r="J8" s="36">
        <v>20025</v>
      </c>
      <c r="K8" s="36">
        <v>18022.5</v>
      </c>
      <c r="L8" s="36">
        <v>17842.28</v>
      </c>
      <c r="M8" s="36">
        <v>18734.39</v>
      </c>
      <c r="N8" s="36">
        <v>155609.04999999999</v>
      </c>
    </row>
    <row r="9" spans="1:14" ht="15.75" thickBot="1" x14ac:dyDescent="0.3">
      <c r="A9" s="2" t="s">
        <v>17</v>
      </c>
      <c r="B9" s="34">
        <v>84061.780000000013</v>
      </c>
      <c r="C9" s="34">
        <v>73798.200000000012</v>
      </c>
      <c r="D9" s="34">
        <v>82309.81</v>
      </c>
      <c r="E9" s="34">
        <v>113187.76999999999</v>
      </c>
      <c r="F9" s="34">
        <v>135910.55000000002</v>
      </c>
      <c r="G9" s="34">
        <v>178580.59</v>
      </c>
      <c r="H9" s="34">
        <v>213726</v>
      </c>
      <c r="I9" s="34">
        <v>230715.64</v>
      </c>
      <c r="J9" s="34">
        <v>214536.3</v>
      </c>
      <c r="K9" s="34">
        <v>193082.66999999998</v>
      </c>
      <c r="L9" s="34">
        <v>191151.85</v>
      </c>
      <c r="M9" s="34">
        <v>200709.43</v>
      </c>
      <c r="N9" s="34">
        <v>1911770.59</v>
      </c>
    </row>
    <row r="10" spans="1:14" ht="15.75" thickTop="1" x14ac:dyDescent="0.25"/>
  </sheetData>
  <dataConsolidate leftLabels="1" topLabels="1">
    <dataRefs count="4">
      <dataRef ref="A3:E11" sheet="Qtr1"/>
      <dataRef ref="A3:E11" sheet="Qtr2"/>
      <dataRef ref="A3:E11" sheet="Qtr3"/>
      <dataRef ref="A3:E11" sheet="Qtr4"/>
    </dataRefs>
  </dataConsolid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5CEE-6EF9-4BD4-8197-F6FFB26ADA31}">
  <sheetPr>
    <tabColor rgb="FF00B0F0"/>
  </sheetPr>
  <dimension ref="A1:E10"/>
  <sheetViews>
    <sheetView workbookViewId="0">
      <selection activeCell="B3" sqref="B3"/>
    </sheetView>
  </sheetViews>
  <sheetFormatPr defaultColWidth="8.7109375" defaultRowHeight="15" x14ac:dyDescent="0.25"/>
  <cols>
    <col min="1" max="1" width="18.7109375" style="2" customWidth="1"/>
    <col min="2" max="3" width="13.7109375" style="2" customWidth="1"/>
    <col min="4" max="4" width="14.28515625" style="2" customWidth="1"/>
    <col min="5" max="5" width="14" style="2" bestFit="1" customWidth="1"/>
    <col min="6" max="16384" width="8.7109375" style="2"/>
  </cols>
  <sheetData>
    <row r="1" spans="1:5" ht="18.75" x14ac:dyDescent="0.3">
      <c r="A1" s="1" t="s">
        <v>41</v>
      </c>
      <c r="B1" s="1"/>
      <c r="C1" s="1"/>
      <c r="D1" s="1"/>
      <c r="E1" s="1"/>
    </row>
    <row r="2" spans="1:5" s="8" customFormat="1" ht="15" customHeight="1" x14ac:dyDescent="0.2"/>
    <row r="3" spans="1:5" x14ac:dyDescent="0.25">
      <c r="A3" s="15" t="s">
        <v>25</v>
      </c>
      <c r="B3" s="16"/>
      <c r="C3" s="16"/>
      <c r="D3" s="16"/>
      <c r="E3" s="16"/>
    </row>
    <row r="4" spans="1:5" x14ac:dyDescent="0.25">
      <c r="A4" s="10" t="s">
        <v>21</v>
      </c>
      <c r="B4" s="17"/>
      <c r="C4" s="17"/>
      <c r="D4" s="17"/>
      <c r="E4" s="17"/>
    </row>
    <row r="5" spans="1:5" x14ac:dyDescent="0.25">
      <c r="A5" s="10" t="s">
        <v>19</v>
      </c>
      <c r="B5" s="18"/>
      <c r="C5" s="18"/>
      <c r="D5" s="18"/>
      <c r="E5" s="18"/>
    </row>
    <row r="6" spans="1:5" x14ac:dyDescent="0.25">
      <c r="A6" s="10" t="s">
        <v>18</v>
      </c>
      <c r="B6" s="18"/>
      <c r="C6" s="18"/>
      <c r="D6" s="18"/>
      <c r="E6" s="18"/>
    </row>
    <row r="7" spans="1:5" x14ac:dyDescent="0.25">
      <c r="A7" s="10" t="s">
        <v>20</v>
      </c>
      <c r="B7" s="18"/>
      <c r="C7" s="18"/>
      <c r="D7" s="18"/>
      <c r="E7" s="18"/>
    </row>
    <row r="8" spans="1:5" x14ac:dyDescent="0.25">
      <c r="A8" s="10" t="s">
        <v>22</v>
      </c>
      <c r="B8" s="18"/>
      <c r="C8" s="18"/>
      <c r="D8" s="18"/>
      <c r="E8" s="18"/>
    </row>
    <row r="9" spans="1:5" x14ac:dyDescent="0.25">
      <c r="A9" s="10" t="s">
        <v>23</v>
      </c>
      <c r="B9" s="18"/>
      <c r="C9" s="19"/>
      <c r="D9" s="18"/>
      <c r="E9" s="18"/>
    </row>
    <row r="10" spans="1:5" x14ac:dyDescent="0.25">
      <c r="A10" s="10" t="s">
        <v>24</v>
      </c>
      <c r="B10" s="18"/>
      <c r="C10" s="18"/>
      <c r="D10" s="18"/>
      <c r="E10" s="18"/>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4C0C-7EAF-4B34-B461-65AEF6AEE9A3}">
  <sheetPr>
    <tabColor rgb="FF7030A0"/>
  </sheetPr>
  <dimension ref="A1:D10"/>
  <sheetViews>
    <sheetView workbookViewId="0">
      <selection activeCell="G17" sqref="G17"/>
    </sheetView>
  </sheetViews>
  <sheetFormatPr defaultColWidth="8.7109375" defaultRowHeight="15" x14ac:dyDescent="0.25"/>
  <cols>
    <col min="1" max="1" width="22.140625" style="2" customWidth="1"/>
    <col min="2" max="2" width="12.140625" style="2" customWidth="1"/>
    <col min="3" max="3" width="11.140625" style="2" customWidth="1"/>
    <col min="4" max="4" width="14.7109375" style="2" customWidth="1"/>
    <col min="5" max="16384" width="8.7109375" style="2"/>
  </cols>
  <sheetData>
    <row r="1" spans="1:4" ht="18.75" customHeight="1" x14ac:dyDescent="0.3">
      <c r="A1" s="1" t="s">
        <v>26</v>
      </c>
      <c r="B1" s="1"/>
      <c r="C1" s="1"/>
      <c r="D1" s="1"/>
    </row>
    <row r="2" spans="1:4" ht="15" customHeight="1" x14ac:dyDescent="0.25"/>
    <row r="3" spans="1:4" ht="15" customHeight="1" x14ac:dyDescent="0.25">
      <c r="A3" s="15" t="s">
        <v>28</v>
      </c>
      <c r="B3" s="15" t="s">
        <v>29</v>
      </c>
      <c r="C3" s="15" t="s">
        <v>30</v>
      </c>
      <c r="D3" s="28" t="s">
        <v>31</v>
      </c>
    </row>
    <row r="4" spans="1:4" ht="15" customHeight="1" x14ac:dyDescent="0.25">
      <c r="A4" s="14" t="e" vm="1">
        <v>#VALUE!</v>
      </c>
      <c r="B4" s="2" t="e" cm="1" vm="2">
        <f t="array" aca="1" ref="B4" ca="1">_FV(A4,"Admin Division 1 (State/province/other)",TRUE)</f>
        <v>#VALUE!</v>
      </c>
      <c r="C4" s="2" cm="1" vm="3">
        <f t="array" aca="1" ref="C4" ca="1">_FV(B4,"Population")</f>
        <v>5957493</v>
      </c>
      <c r="D4" s="29">
        <v>1911770.59</v>
      </c>
    </row>
    <row r="5" spans="1:4" ht="15" customHeight="1" x14ac:dyDescent="0.25">
      <c r="A5" s="14" t="e" vm="4">
        <v>#VALUE!</v>
      </c>
      <c r="B5" s="2" t="e" cm="1" vm="5">
        <f t="array" aca="1" ref="B5" ca="1">_FV(A5,"Admin Division 1 (State/province/other)",TRUE)</f>
        <v>#VALUE!</v>
      </c>
      <c r="C5" s="2" cm="1" vm="6">
        <f t="array" aca="1" ref="C5" ca="1">_FV(B5,"Population")</f>
        <v>6245466</v>
      </c>
      <c r="D5" s="21">
        <v>1405240.35</v>
      </c>
    </row>
    <row r="6" spans="1:4" ht="15" customHeight="1" x14ac:dyDescent="0.25">
      <c r="A6" s="14" t="e" vm="7">
        <v>#VALUE!</v>
      </c>
      <c r="B6" s="2" t="e" cm="1" vm="8">
        <f t="array" aca="1" ref="B6" ca="1">_FV(A6,"Admin Division 1 (State/province/other)",TRUE)</f>
        <v>#VALUE!</v>
      </c>
      <c r="C6" s="2" cm="1" vm="9">
        <f t="array" aca="1" ref="C6" ca="1">_FV(B6,"Population")</f>
        <v>3959353</v>
      </c>
      <c r="D6" s="21">
        <v>1002401.85</v>
      </c>
    </row>
    <row r="7" spans="1:4" x14ac:dyDescent="0.25">
      <c r="A7" s="14" t="e" vm="10">
        <v>#VALUE!</v>
      </c>
      <c r="B7" s="2" t="e" cm="1" vm="11">
        <f t="array" aca="1" ref="B7" ca="1">_FV(A7,"Admin Division 1 (State/province/other)",TRUE)</f>
        <v>#VALUE!</v>
      </c>
      <c r="C7" s="2" cm="1" vm="12">
        <f t="array" aca="1" ref="C7" ca="1">_FV(B7,"Population")</f>
        <v>7582384</v>
      </c>
      <c r="D7" s="21">
        <v>1301901.07</v>
      </c>
    </row>
    <row r="8" spans="1:4" x14ac:dyDescent="0.25">
      <c r="A8" s="14" t="e" vm="13">
        <v>#VALUE!</v>
      </c>
      <c r="B8" s="2" t="e" cm="1" vm="14">
        <f t="array" aca="1" ref="B8" ca="1">_FV(A8,"Admin Division 1 (State/province/other)",TRUE)</f>
        <v>#VALUE!</v>
      </c>
      <c r="C8" s="2" cm="1" vm="15">
        <f t="array" aca="1" ref="C8" ca="1">_FV(B8,"Population")</f>
        <v>3503613</v>
      </c>
      <c r="D8" s="21">
        <f>[1]Year!$B$11</f>
        <v>1008741.24</v>
      </c>
    </row>
    <row r="9" spans="1:4" ht="15.75" thickBot="1" x14ac:dyDescent="0.3">
      <c r="A9" s="30" t="s">
        <v>16</v>
      </c>
      <c r="B9" s="30"/>
      <c r="C9" s="30"/>
      <c r="D9" s="13">
        <f>SUM(D7:D8)</f>
        <v>2310642.31</v>
      </c>
    </row>
    <row r="10" spans="1:4" ht="15.75" thickTop="1" x14ac:dyDescent="0.25"/>
  </sheetData>
  <sortState xmlns:xlrd2="http://schemas.microsoft.com/office/spreadsheetml/2017/richdata2" ref="A4:A8">
    <sortCondition ref="A4:A8"/>
  </sortState>
  <mergeCells count="1">
    <mergeCell ref="A1:D1"/>
  </mergeCells>
  <pageMargins left="0.7" right="0.7" top="0.75" bottom="0.75" header="0.3" footer="0.3"/>
  <pageSetup orientation="portrait" horizont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7D911-F9E0-4110-BD64-45D572E2FA3F}">
  <sheetPr>
    <tabColor rgb="FF00B050"/>
  </sheetPr>
  <dimension ref="A1:D12"/>
  <sheetViews>
    <sheetView workbookViewId="0">
      <selection activeCell="C9" sqref="C9"/>
    </sheetView>
  </sheetViews>
  <sheetFormatPr defaultColWidth="9.140625" defaultRowHeight="15" x14ac:dyDescent="0.25"/>
  <cols>
    <col min="1" max="1" width="18.7109375" style="4" customWidth="1"/>
    <col min="2" max="3" width="13.7109375" style="4" customWidth="1"/>
    <col min="4" max="4" width="14.7109375" style="4" customWidth="1"/>
    <col min="5" max="16384" width="9.140625" style="4"/>
  </cols>
  <sheetData>
    <row r="1" spans="1:4" ht="18.75" x14ac:dyDescent="0.3">
      <c r="A1" s="1" t="s">
        <v>46</v>
      </c>
      <c r="B1" s="1"/>
      <c r="C1" s="1"/>
      <c r="D1" s="1"/>
    </row>
    <row r="2" spans="1:4" x14ac:dyDescent="0.25">
      <c r="A2" s="14"/>
      <c r="B2" s="14"/>
      <c r="C2" s="14"/>
      <c r="D2" s="14"/>
    </row>
    <row r="3" spans="1:4" x14ac:dyDescent="0.25">
      <c r="A3" s="15" t="s">
        <v>25</v>
      </c>
      <c r="B3" s="16" t="s">
        <v>42</v>
      </c>
      <c r="C3" s="16" t="s">
        <v>44</v>
      </c>
      <c r="D3" s="16" t="s">
        <v>45</v>
      </c>
    </row>
    <row r="4" spans="1:4" x14ac:dyDescent="0.25">
      <c r="A4" s="10" t="s">
        <v>21</v>
      </c>
      <c r="B4" s="26">
        <v>10</v>
      </c>
      <c r="C4" s="26">
        <v>5</v>
      </c>
      <c r="D4" s="27">
        <f>B4-C4</f>
        <v>5</v>
      </c>
    </row>
    <row r="5" spans="1:4" x14ac:dyDescent="0.25">
      <c r="A5" s="10" t="s">
        <v>19</v>
      </c>
      <c r="B5" s="26">
        <v>15</v>
      </c>
      <c r="C5" s="26">
        <v>7</v>
      </c>
      <c r="D5" s="27">
        <f t="shared" ref="D5:D10" si="0">B5-C5</f>
        <v>8</v>
      </c>
    </row>
    <row r="6" spans="1:4" x14ac:dyDescent="0.25">
      <c r="A6" s="10" t="s">
        <v>18</v>
      </c>
      <c r="B6" s="26">
        <v>15</v>
      </c>
      <c r="C6" s="26">
        <v>13</v>
      </c>
      <c r="D6" s="27">
        <f t="shared" si="0"/>
        <v>2</v>
      </c>
    </row>
    <row r="7" spans="1:4" x14ac:dyDescent="0.25">
      <c r="A7" s="10" t="s">
        <v>20</v>
      </c>
      <c r="B7" s="26">
        <v>30</v>
      </c>
      <c r="C7" s="26">
        <v>25</v>
      </c>
      <c r="D7" s="27">
        <f t="shared" si="0"/>
        <v>5</v>
      </c>
    </row>
    <row r="8" spans="1:4" x14ac:dyDescent="0.25">
      <c r="A8" s="10" t="s">
        <v>22</v>
      </c>
      <c r="B8" s="26">
        <v>50</v>
      </c>
      <c r="C8" s="26">
        <v>50</v>
      </c>
      <c r="D8" s="27">
        <f t="shared" si="0"/>
        <v>0</v>
      </c>
    </row>
    <row r="9" spans="1:4" x14ac:dyDescent="0.25">
      <c r="A9" s="10" t="s">
        <v>23</v>
      </c>
      <c r="B9" s="26">
        <v>25</v>
      </c>
      <c r="C9" s="26">
        <v>21</v>
      </c>
      <c r="D9" s="27">
        <f t="shared" si="0"/>
        <v>4</v>
      </c>
    </row>
    <row r="10" spans="1:4" x14ac:dyDescent="0.25">
      <c r="A10" s="10" t="s">
        <v>24</v>
      </c>
      <c r="B10" s="26">
        <v>10</v>
      </c>
      <c r="C10" s="26">
        <v>7</v>
      </c>
      <c r="D10" s="27">
        <f t="shared" si="0"/>
        <v>3</v>
      </c>
    </row>
    <row r="11" spans="1:4" ht="15.75" thickBot="1" x14ac:dyDescent="0.3">
      <c r="A11" s="20" t="s">
        <v>43</v>
      </c>
      <c r="B11" s="11">
        <f>SUM(B4:B10)</f>
        <v>155</v>
      </c>
      <c r="C11" s="11">
        <f>SUM(C4:C10)</f>
        <v>128</v>
      </c>
      <c r="D11" s="12">
        <f>SUM(D4:D10)</f>
        <v>27</v>
      </c>
    </row>
    <row r="12" spans="1:4" ht="15.75" thickTop="1" x14ac:dyDescent="0.25"/>
  </sheetData>
  <mergeCells count="1">
    <mergeCell ref="A1:D1"/>
  </mergeCells>
  <dataValidations count="1">
    <dataValidation type="whole" operator="lessThanOrEqual" allowBlank="1" showInputMessage="1" showErrorMessage="1" errorTitle="Number Too High" error="The number of rented cars exceeds the number of available cars._x000a_" promptTitle="Cars Rented" prompt="Enter the number of cars rented." sqref="C4:C10" xr:uid="{FDD57DED-4327-451D-A411-633955EFEAB5}">
      <formula1>B4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outs:outSpaceData xmlns:outs="http://schemas.microsoft.com/office/2009/outspace/metadata">
  <outs:relatedDates>
    <outs:relatedDate>
      <outs:type>3</outs:type>
      <outs:displayName>Last Modified</outs:displayName>
      <outs:dateTime>2009-08-25T22:06:34Z</outs:dateTime>
      <outs:isPinned>true</outs:isPinned>
    </outs:relatedDate>
    <outs:relatedDate>
      <outs:type>2</outs:type>
      <outs:displayName>Created</outs:displayName>
      <outs:dateTime>2001-03-13T23:39:42Z</outs:dateTime>
      <outs:isPinned>true</outs:isPinned>
    </outs:relatedDate>
    <outs:relatedDate>
      <outs:type>4</outs:type>
      <outs:displayName>Last Printed</outs:displayName>
      <outs:dateTime>2003-02-06T18:48:20Z</outs:dateTime>
      <outs:isPinned>true</outs:isPinned>
    </outs:relatedDate>
  </outs:relatedDates>
  <outs:relatedDocuments>
    <outs:relatedDocument>
      <outs:type>2</outs:type>
      <outs:displayName>Other documents in current folder</outs:displayName>
      <outs:uri/>
      <outs:isPinned>true</outs:isPinned>
    </outs:relatedDocument>
  </outs:relatedDocuments>
  <outs:relatedPeople>
    <outs:relatedPeopleItem>
      <outs:category>Author</outs:category>
      <outs:people>
        <outs:relatedPerson>
          <outs:displayName>Keith</outs:displayName>
          <outs:accountName/>
        </outs:relatedPerson>
      </outs:people>
      <outs:source>0</outs:source>
      <outs:isPinned>true</outs:isPinned>
    </outs:relatedPeopleItem>
    <outs:relatedPeopleItem>
      <outs:category>Last modified by</outs:category>
      <outs:people>
        <outs:relatedPerson>
          <outs:displayName>Dr. Mulbery</outs:displayName>
          <outs:accountName/>
        </outs:relatedPerson>
      </outs:people>
      <outs:source>0</outs:source>
      <outs:isPinned>true</outs:isPinned>
    </outs:relatedPeopleItem>
    <outs:relatedPeopleItem>
      <outs:category>Manager</outs:category>
      <outs:people/>
      <outs:source>0</outs:source>
      <outs:isPinned>false</outs:isPinned>
    </outs:relatedPeopleItem>
  </outs:relatedPeople>
  <propertyMetadataList xmlns="http://schemas.microsoft.com/office/2009/outspace/metadata">
    <propertyMetadata>
      <type>0</type>
      <propertyId>2228224</propertyId>
      <propertyName/>
      <isPinned>true</isPinned>
    </propertyMetadata>
    <propertyMetadata>
      <type>0</type>
      <propertyId>14</propertyId>
      <propertyName/>
      <isPinned>true</isPinned>
    </propertyMetadata>
    <propertyMetadata>
      <type>0</type>
      <propertyId>8</propertyId>
      <propertyName/>
      <isPinned>true</isPinned>
    </propertyMetadata>
    <propertyMetadata>
      <type>0</type>
      <propertyId>6</propertyId>
      <propertyName/>
      <isPinned>false</isPinned>
    </propertyMetadata>
    <propertyMetadata>
      <type>0</type>
      <propertyId>655365</propertyId>
      <propertyName/>
      <isPinned>false</isPinned>
    </propertyMetadata>
    <propertyMetadata>
      <type>0</type>
      <propertyId>1</propertyId>
      <propertyName/>
      <isPinned>false</isPinned>
    </propertyMetadata>
    <propertyMetadata>
      <type>0</type>
      <propertyId>0</propertyId>
      <propertyName/>
      <isPinned>true</isPinned>
    </propertyMetadata>
    <propertyMetadata>
      <type>0</type>
      <propertyId>13</propertyId>
      <propertyName/>
      <isPinned>false</isPinned>
    </propertyMetadata>
    <propertyMetadata>
      <type>0</type>
      <propertyId>1179653</propertyId>
      <propertyName/>
      <isPinned>false</isPinned>
    </propertyMetadata>
    <propertyMetadata>
      <type>0</type>
      <propertyId>22</propertyId>
      <propertyName/>
      <isPinned>false</isPinned>
    </propertyMetadata>
  </propertyMetadataList>
  <outs:corruptMetadataWasLost/>
</outs:outSpaceData>
</file>

<file path=customXml/item2.xml><?xml version="1.0" encoding="utf-8"?>
<project>
  <id>m4PsDbcIB6wGXb2LFGCmbjqdCRmTkFOLyFRhzRQgUuqApe360j5LpLznhWlRi0/0jfIo0A+QALWitAn/1RtuinWu4NpgK0TI-~dgNpLXIdh4v2yp31WzuVgg==#@#12338002#@#5/5/2024 11:28:37 PM</id>
</project>
</file>

<file path=customXml/itemProps1.xml><?xml version="1.0" encoding="utf-8"?>
<ds:datastoreItem xmlns:ds="http://schemas.openxmlformats.org/officeDocument/2006/customXml" ds:itemID="{6580D6DB-FC4D-4C40-B638-8FAA031128AB}">
  <ds:schemaRefs>
    <ds:schemaRef ds:uri="http://schemas.microsoft.com/office/2009/outspace/metadata"/>
  </ds:schemaRefs>
</ds:datastoreItem>
</file>

<file path=customXml/itemProps2.xml><?xml version="1.0" encoding="utf-8"?>
<ds:datastoreItem xmlns:ds="http://schemas.openxmlformats.org/officeDocument/2006/customXml" ds:itemID="{E2159D18-94CC-489D-9915-DC556A1E96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Qtr1</vt:lpstr>
      <vt:lpstr>Qtr2</vt:lpstr>
      <vt:lpstr>Qtr3</vt:lpstr>
      <vt:lpstr>Qtr4</vt:lpstr>
      <vt:lpstr>Year</vt:lpstr>
      <vt:lpstr>Consolidated</vt:lpstr>
      <vt:lpstr>Future</vt:lpstr>
      <vt:lpstr>Totals</vt:lpstr>
      <vt:lpstr>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Exploring Series</dc:creator>
  <cp:lastModifiedBy>Samer Zeeshan Mohsin</cp:lastModifiedBy>
  <cp:lastPrinted>2003-02-06T18:48:20Z</cp:lastPrinted>
  <dcterms:created xsi:type="dcterms:W3CDTF">2001-03-13T23:39:42Z</dcterms:created>
  <dcterms:modified xsi:type="dcterms:W3CDTF">2026-03-11T21:15:58Z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